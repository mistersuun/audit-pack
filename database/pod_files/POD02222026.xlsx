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WwMOylEa1/ZP44pd5/YDF+nrDuxMmS3a0yuOTC+V+lanYzqa9mppAeUbgcwlQumDcUY/Ysb1JVkVnOphCfoWCg==" workbookSaltValue="Jg5iiChGR3RVsmXGePB92A==" workbookSpinCount="100000"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Sommaire" sheetId="2" state="visible" r:id="rId2"/>
  </sheets>
  <definedNames>
    <definedName name="\0">#REF!</definedName>
    <definedName name="b_dist">#REF!</definedName>
    <definedName name="b_pourb">#REF!</definedName>
    <definedName name="b_recus">#REF!</definedName>
    <definedName name="b_ventes">#REF!</definedName>
    <definedName name="d_debut_fin">#N/A</definedName>
    <definedName name="d_debut_retour">#N/A</definedName>
    <definedName name="d_depart_fin">#REF!</definedName>
    <definedName name="m_imprimer">#REF!</definedName>
    <definedName name="m_recherche">#REF!</definedName>
    <definedName name="macro_de_vidange">#REF!</definedName>
    <definedName name="macro_debut">#REF!</definedName>
    <definedName name="recherche">#N/A</definedName>
    <definedName name="_xlnm._FilterDatabase" localSheetId="0" hidden="1">'Feuil1'!$A$1:$P$62</definedName>
    <definedName name="_xlnm.Print_Area" localSheetId="0">'Feuil1'!$A$1:$Q$63</definedName>
    <definedName name="_xlnm._FilterDatabase" localSheetId="1" hidden="1">'Sommaire'!$A$4:$BG$67</definedName>
    <definedName name="_xlnm.Print_Titles" localSheetId="1">'Sommaire'!$1:$6,'Sommaire'!$A:$C</definedName>
    <definedName name="_xlnm.Print_Area" localSheetId="1">'Sommaire'!$D$7:$BP$68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"/>
    <numFmt numFmtId="165" formatCode="0.0000"/>
    <numFmt numFmtId="166" formatCode="d/mmm/yy"/>
    <numFmt numFmtId="167" formatCode="yyyy-mm-dd h:mm:ss"/>
    <numFmt numFmtId="168" formatCode="#,##0\ &quot;$&quot;_);\(#,##0\ &quot;$&quot;\)"/>
  </numFmts>
  <fonts count="27">
    <font>
      <name val="Arial"/>
      <sz val="10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2"/>
    </font>
    <font>
      <name val="Arial"/>
      <family val="2"/>
      <color indexed="10"/>
      <sz val="10"/>
    </font>
    <font>
      <name val="Arial"/>
      <family val="2"/>
      <color indexed="10"/>
      <sz val="12"/>
    </font>
    <font>
      <name val="Arial"/>
      <family val="2"/>
      <color indexed="18"/>
      <sz val="10"/>
    </font>
    <font>
      <name val="Arial"/>
      <family val="2"/>
      <color indexed="18"/>
      <sz val="12"/>
    </font>
    <font>
      <name val="Arial"/>
      <family val="2"/>
      <sz val="10"/>
    </font>
    <font>
      <name val="Arial"/>
      <family val="2"/>
      <sz val="9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color indexed="8"/>
      <sz val="12"/>
    </font>
    <font>
      <name val="Arial"/>
      <family val="2"/>
      <b val="1"/>
      <sz val="8"/>
    </font>
    <font>
      <name val="Arial"/>
      <family val="2"/>
      <sz val="14"/>
    </font>
    <font>
      <name val="Arial"/>
      <family val="2"/>
      <color indexed="18"/>
      <sz val="14"/>
    </font>
    <font>
      <name val="Arial"/>
      <family val="2"/>
      <color indexed="10"/>
      <sz val="14"/>
    </font>
    <font>
      <name val="Arial"/>
      <family val="2"/>
      <color indexed="12"/>
      <sz val="14"/>
    </font>
    <font>
      <name val="Arial"/>
      <family val="2"/>
      <color indexed="8"/>
      <sz val="14"/>
    </font>
    <font>
      <name val="Arial"/>
      <family val="2"/>
      <color indexed="13"/>
      <sz val="14"/>
    </font>
    <font>
      <name val="Arial"/>
      <family val="2"/>
      <color rgb="FFFF0000"/>
      <sz val="1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color rgb="FF00B050"/>
      <sz val="14"/>
    </font>
    <font>
      <name val="Arial"/>
      <family val="2"/>
      <color theme="1"/>
      <sz val="14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gray0625">
        <fgColor indexed="10"/>
        <bgColor indexed="9"/>
      </patternFill>
    </fill>
    <fill>
      <patternFill patternType="gray0625">
        <fgColor indexed="14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1">
    <xf numFmtId="0" fontId="0" fillId="0" borderId="0" applyAlignment="1">
      <alignment vertical="top"/>
    </xf>
    <xf numFmtId="0" fontId="26" fillId="0" borderId="0"/>
    <xf numFmtId="0" fontId="1" fillId="0" borderId="0"/>
    <xf numFmtId="0" fontId="2" fillId="0" borderId="0"/>
    <xf numFmtId="2" fontId="26" fillId="0" borderId="0"/>
    <xf numFmtId="168" fontId="26" fillId="0" borderId="0"/>
    <xf numFmtId="0" fontId="26" fillId="0" borderId="0"/>
    <xf numFmtId="10" fontId="26" fillId="0" borderId="0"/>
    <xf numFmtId="0" fontId="26" fillId="0" borderId="1"/>
    <xf numFmtId="3" fontId="26" fillId="0" borderId="0"/>
    <xf numFmtId="44" fontId="26" fillId="0" borderId="0"/>
  </cellStyleXfs>
  <cellXfs count="121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Continuous"/>
    </xf>
    <xf numFmtId="15" fontId="3" fillId="0" borderId="0" pivotButton="0" quotePrefix="0" xfId="0"/>
    <xf numFmtId="0" fontId="4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Continuous"/>
    </xf>
    <xf numFmtId="0" fontId="6" fillId="0" borderId="0" applyAlignment="1" pivotButton="0" quotePrefix="0" xfId="0">
      <alignment horizontal="centerContinuous"/>
    </xf>
    <xf numFmtId="0" fontId="5" fillId="0" borderId="0" pivotButton="0" quotePrefix="0" xfId="0"/>
    <xf numFmtId="0" fontId="7" fillId="0" borderId="0" applyAlignment="1" pivotButton="0" quotePrefix="0" xfId="0">
      <alignment horizontal="centerContinuous"/>
    </xf>
    <xf numFmtId="0" fontId="8" fillId="0" borderId="0" applyAlignment="1" pivotButton="0" quotePrefix="0" xfId="0">
      <alignment horizontal="centerContinuous"/>
    </xf>
    <xf numFmtId="0" fontId="7" fillId="0" borderId="0" pivotButton="0" quotePrefix="0" xfId="0"/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Continuous"/>
    </xf>
    <xf numFmtId="0" fontId="11" fillId="0" borderId="0" pivotButton="0" quotePrefix="0" xfId="0"/>
    <xf numFmtId="0" fontId="12" fillId="0" borderId="0" applyAlignment="1" pivotButton="0" quotePrefix="0" xfId="0">
      <alignment horizontal="centerContinuous"/>
    </xf>
    <xf numFmtId="0" fontId="13" fillId="0" borderId="0" applyAlignment="1" pivotButton="0" quotePrefix="0" xfId="0">
      <alignment horizontal="centerContinuous"/>
    </xf>
    <xf numFmtId="0" fontId="12" fillId="0" borderId="0" pivotButton="0" quotePrefix="0" xfId="0"/>
    <xf numFmtId="49" fontId="14" fillId="0" borderId="5" pivotButton="0" quotePrefix="0" xfId="6"/>
    <xf numFmtId="0" fontId="14" fillId="0" borderId="5" pivotButton="0" quotePrefix="0" xfId="6"/>
    <xf numFmtId="0" fontId="14" fillId="0" borderId="5" applyAlignment="1" pivotButton="0" quotePrefix="0" xfId="6">
      <alignment horizontal="center"/>
    </xf>
    <xf numFmtId="164" fontId="14" fillId="0" borderId="5" applyAlignment="1" pivotButton="0" quotePrefix="0" xfId="6">
      <alignment horizontal="center"/>
    </xf>
    <xf numFmtId="49" fontId="14" fillId="0" borderId="5" applyAlignment="1" pivotButton="0" quotePrefix="0" xfId="6">
      <alignment horizontal="center"/>
    </xf>
    <xf numFmtId="49" fontId="14" fillId="0" borderId="9" applyAlignment="1" pivotButton="0" quotePrefix="0" xfId="6">
      <alignment horizontal="center"/>
    </xf>
    <xf numFmtId="0" fontId="0" fillId="0" borderId="0" applyAlignment="1" pivotButton="0" quotePrefix="0" xfId="0">
      <alignment vertical="top"/>
    </xf>
    <xf numFmtId="2" fontId="10" fillId="4" borderId="5" applyAlignment="1" pivotButton="0" quotePrefix="0" xfId="6">
      <alignment vertical="center"/>
    </xf>
    <xf numFmtId="0" fontId="0" fillId="5" borderId="0" pivotButton="0" quotePrefix="0" xfId="0"/>
    <xf numFmtId="2" fontId="0" fillId="5" borderId="0" pivotButton="0" quotePrefix="0" xfId="0"/>
    <xf numFmtId="0" fontId="0" fillId="5" borderId="0" applyAlignment="1" pivotButton="0" quotePrefix="0" xfId="0">
      <alignment vertical="top"/>
    </xf>
    <xf numFmtId="2" fontId="10" fillId="5" borderId="5" applyAlignment="1" pivotButton="0" quotePrefix="0" xfId="6">
      <alignment vertical="center"/>
    </xf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0" fontId="15" fillId="0" borderId="0" applyAlignment="1" pivotButton="0" quotePrefix="0" xfId="0">
      <alignment horizontal="right"/>
    </xf>
    <xf numFmtId="0" fontId="15" fillId="0" borderId="0" pivotButton="0" quotePrefix="0" xfId="0"/>
    <xf numFmtId="16" fontId="15" fillId="0" borderId="0" pivotButton="0" quotePrefix="0" xfId="0"/>
    <xf numFmtId="0" fontId="15" fillId="0" borderId="2" applyAlignment="1" pivotButton="0" quotePrefix="0" xfId="0">
      <alignment horizontal="right" vertical="center"/>
    </xf>
    <xf numFmtId="0" fontId="15" fillId="0" borderId="2" applyAlignment="1" pivotButton="0" quotePrefix="0" xfId="0">
      <alignment vertical="center"/>
    </xf>
    <xf numFmtId="0" fontId="17" fillId="0" borderId="2" applyAlignment="1" pivotButton="0" quotePrefix="0" xfId="0">
      <alignment vertical="center"/>
    </xf>
    <xf numFmtId="0" fontId="16" fillId="0" borderId="2" applyAlignment="1" pivotButton="0" quotePrefix="0" xfId="0">
      <alignment vertical="center"/>
    </xf>
    <xf numFmtId="0" fontId="15" fillId="0" borderId="3" applyAlignment="1" pivotButton="0" quotePrefix="0" xfId="0">
      <alignment vertical="center"/>
    </xf>
    <xf numFmtId="0" fontId="15" fillId="0" borderId="2" applyAlignment="1" pivotButton="0" quotePrefix="0" xfId="0">
      <alignment horizontal="center" wrapText="1"/>
    </xf>
    <xf numFmtId="0" fontId="15" fillId="0" borderId="2" applyAlignment="1" pivotButton="0" quotePrefix="0" xfId="0">
      <alignment wrapText="1"/>
    </xf>
    <xf numFmtId="0" fontId="15" fillId="0" borderId="2" pivotButton="0" quotePrefix="0" xfId="0"/>
    <xf numFmtId="0" fontId="17" fillId="0" borderId="0" pivotButton="0" quotePrefix="0" xfId="0"/>
    <xf numFmtId="0" fontId="16" fillId="0" borderId="0" pivotButton="0" quotePrefix="0" xfId="0"/>
    <xf numFmtId="2" fontId="15" fillId="0" borderId="0" pivotButton="0" quotePrefix="0" xfId="0"/>
    <xf numFmtId="2" fontId="15" fillId="0" borderId="4" applyProtection="1" pivotButton="0" quotePrefix="0" xfId="0">
      <protection locked="0" hidden="0"/>
    </xf>
    <xf numFmtId="2" fontId="17" fillId="0" borderId="0" applyProtection="1" pivotButton="0" quotePrefix="0" xfId="0">
      <protection locked="0" hidden="0"/>
    </xf>
    <xf numFmtId="2" fontId="16" fillId="0" borderId="0" applyProtection="1" pivotButton="0" quotePrefix="0" xfId="0">
      <protection locked="0" hidden="0"/>
    </xf>
    <xf numFmtId="2" fontId="15" fillId="0" borderId="6" applyProtection="1" pivotButton="0" quotePrefix="0" xfId="0">
      <protection locked="0" hidden="0"/>
    </xf>
    <xf numFmtId="2" fontId="15" fillId="0" borderId="0" applyProtection="1" pivotButton="0" quotePrefix="0" xfId="0">
      <protection locked="0" hidden="0"/>
    </xf>
    <xf numFmtId="0" fontId="15" fillId="0" borderId="7" applyAlignment="1" applyProtection="1" pivotButton="0" quotePrefix="0" xfId="0">
      <alignment horizontal="right"/>
      <protection locked="0" hidden="0"/>
    </xf>
    <xf numFmtId="0" fontId="15" fillId="0" borderId="5" applyProtection="1" pivotButton="0" quotePrefix="0" xfId="0">
      <protection locked="0" hidden="0"/>
    </xf>
    <xf numFmtId="0" fontId="15" fillId="0" borderId="7" applyProtection="1" pivotButton="0" quotePrefix="0" xfId="0">
      <protection locked="0" hidden="0"/>
    </xf>
    <xf numFmtId="0" fontId="15" fillId="0" borderId="8" applyProtection="1" pivotButton="0" quotePrefix="0" xfId="0">
      <protection locked="0" hidden="0"/>
    </xf>
    <xf numFmtId="0" fontId="15" fillId="0" borderId="7" applyAlignment="1" applyProtection="1" pivotButton="0" quotePrefix="1" xfId="0">
      <alignment horizontal="right"/>
      <protection locked="0" hidden="0"/>
    </xf>
    <xf numFmtId="0" fontId="15" fillId="0" borderId="11" applyProtection="1" pivotButton="0" quotePrefix="0" xfId="0">
      <protection locked="0" hidden="0"/>
    </xf>
    <xf numFmtId="0" fontId="17" fillId="2" borderId="2" applyAlignment="1" pivotButton="0" quotePrefix="0" xfId="0">
      <alignment horizontal="left"/>
    </xf>
    <xf numFmtId="0" fontId="17" fillId="2" borderId="2" pivotButton="0" quotePrefix="0" xfId="0"/>
    <xf numFmtId="0" fontId="17" fillId="0" borderId="2" applyProtection="1" pivotButton="0" quotePrefix="0" xfId="0">
      <protection locked="0" hidden="0"/>
    </xf>
    <xf numFmtId="0" fontId="15" fillId="0" borderId="3" applyProtection="1" pivotButton="0" quotePrefix="0" xfId="0">
      <protection locked="0" hidden="0"/>
    </xf>
    <xf numFmtId="0" fontId="16" fillId="0" borderId="2" applyProtection="1" pivotButton="0" quotePrefix="0" xfId="0">
      <protection locked="0" hidden="0"/>
    </xf>
    <xf numFmtId="0" fontId="15" fillId="0" borderId="2" applyProtection="1" pivotButton="0" quotePrefix="0" xfId="0">
      <protection locked="0" hidden="0"/>
    </xf>
    <xf numFmtId="0" fontId="15" fillId="0" borderId="0" applyProtection="1" pivotButton="0" quotePrefix="0" xfId="0">
      <protection locked="0" hidden="0"/>
    </xf>
    <xf numFmtId="0" fontId="17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0" fontId="19" fillId="0" borderId="0" applyProtection="1" pivotButton="0" quotePrefix="0" xfId="0">
      <protection locked="0" hidden="0"/>
    </xf>
    <xf numFmtId="0" fontId="15" fillId="0" borderId="0" applyAlignment="1" pivotButton="0" quotePrefix="0" xfId="0">
      <alignment horizontal="center"/>
    </xf>
    <xf numFmtId="0" fontId="19" fillId="0" borderId="0" pivotButton="0" quotePrefix="0" xfId="0"/>
    <xf numFmtId="0" fontId="0" fillId="6" borderId="0" pivotButton="0" quotePrefix="0" xfId="0"/>
    <xf numFmtId="2" fontId="0" fillId="6" borderId="0" pivotButton="0" quotePrefix="0" xfId="0"/>
    <xf numFmtId="165" fontId="17" fillId="0" borderId="0" pivotButton="0" quotePrefix="0" xfId="0"/>
    <xf numFmtId="10" fontId="15" fillId="0" borderId="0" pivotButton="0" quotePrefix="0" xfId="7"/>
    <xf numFmtId="0" fontId="15" fillId="0" borderId="0" applyAlignment="1" applyProtection="1" pivotButton="0" quotePrefix="0" xfId="0">
      <alignment horizontal="right"/>
      <protection locked="0" hidden="0"/>
    </xf>
    <xf numFmtId="0" fontId="0" fillId="0" borderId="0" applyProtection="1" pivotButton="0" quotePrefix="0" xfId="0">
      <protection locked="0" hidden="0"/>
    </xf>
    <xf numFmtId="4" fontId="19" fillId="0" borderId="0" applyProtection="1" pivotButton="0" quotePrefix="0" xfId="0">
      <protection locked="0" hidden="0"/>
    </xf>
    <xf numFmtId="4" fontId="15" fillId="0" borderId="0" applyProtection="1" pivotButton="0" quotePrefix="0" xfId="0">
      <protection locked="0" hidden="0"/>
    </xf>
    <xf numFmtId="2" fontId="15" fillId="7" borderId="0" pivotButton="0" quotePrefix="0" xfId="0"/>
    <xf numFmtId="2" fontId="15" fillId="3" borderId="0" pivotButton="0" quotePrefix="0" xfId="0"/>
    <xf numFmtId="0" fontId="18" fillId="2" borderId="0" applyAlignment="1" applyProtection="1" pivotButton="0" quotePrefix="0" xfId="0">
      <alignment horizontal="right"/>
      <protection locked="0" hidden="0"/>
    </xf>
    <xf numFmtId="0" fontId="18" fillId="2" borderId="0" applyAlignment="1" applyProtection="1" pivotButton="0" quotePrefix="0" xfId="0">
      <alignment horizontal="center"/>
      <protection locked="0" hidden="0"/>
    </xf>
    <xf numFmtId="0" fontId="15" fillId="0" borderId="4" applyProtection="1" pivotButton="0" quotePrefix="0" xfId="0">
      <protection locked="0" hidden="0"/>
    </xf>
    <xf numFmtId="0" fontId="15" fillId="0" borderId="10" applyProtection="1" pivotButton="0" quotePrefix="0" xfId="0">
      <protection locked="0" hidden="0"/>
    </xf>
    <xf numFmtId="0" fontId="15" fillId="0" borderId="6" applyProtection="1" pivotButton="0" quotePrefix="0" xfId="0">
      <protection locked="0" hidden="0"/>
    </xf>
    <xf numFmtId="10" fontId="15" fillId="0" borderId="0" applyProtection="1" pivotButton="0" quotePrefix="0" xfId="7">
      <protection locked="0" hidden="0"/>
    </xf>
    <xf numFmtId="0" fontId="19" fillId="0" borderId="5" applyProtection="1" pivotButton="0" quotePrefix="0" xfId="0">
      <protection locked="0" hidden="0"/>
    </xf>
    <xf numFmtId="0" fontId="20" fillId="0" borderId="8" applyProtection="1" pivotButton="0" quotePrefix="0" xfId="0">
      <protection locked="0" hidden="0"/>
    </xf>
    <xf numFmtId="0" fontId="15" fillId="0" borderId="12" applyProtection="1" pivotButton="0" quotePrefix="0" xfId="0">
      <protection locked="0" hidden="0"/>
    </xf>
    <xf numFmtId="0" fontId="15" fillId="0" borderId="13" applyProtection="1" pivotButton="0" quotePrefix="0" xfId="0">
      <protection locked="0" hidden="0"/>
    </xf>
    <xf numFmtId="2" fontId="15" fillId="8" borderId="0" pivotButton="0" quotePrefix="0" xfId="0"/>
    <xf numFmtId="0" fontId="17" fillId="9" borderId="0" applyProtection="1" pivotButton="0" quotePrefix="0" xfId="0">
      <protection locked="0" hidden="0"/>
    </xf>
    <xf numFmtId="0" fontId="16" fillId="9" borderId="0" applyProtection="1" pivotButton="0" quotePrefix="0" xfId="0">
      <protection locked="0" hidden="0"/>
    </xf>
    <xf numFmtId="0" fontId="7" fillId="9" borderId="0" pivotButton="0" quotePrefix="0" xfId="0"/>
    <xf numFmtId="2" fontId="24" fillId="0" borderId="0" pivotButton="0" quotePrefix="0" xfId="0"/>
    <xf numFmtId="0" fontId="24" fillId="0" borderId="0" pivotButton="0" quotePrefix="0" xfId="0"/>
    <xf numFmtId="2" fontId="16" fillId="0" borderId="4" applyProtection="1" pivotButton="0" quotePrefix="0" xfId="0">
      <protection locked="0" hidden="0"/>
    </xf>
    <xf numFmtId="2" fontId="19" fillId="0" borderId="0" applyProtection="1" pivotButton="0" quotePrefix="0" xfId="0">
      <protection locked="0" hidden="0"/>
    </xf>
    <xf numFmtId="2" fontId="21" fillId="0" borderId="0" applyProtection="1" pivotButton="0" quotePrefix="0" xfId="0">
      <protection locked="0" hidden="0"/>
    </xf>
    <xf numFmtId="0" fontId="19" fillId="0" borderId="3" applyProtection="1" pivotButton="0" quotePrefix="0" xfId="0">
      <protection locked="0" hidden="0"/>
    </xf>
    <xf numFmtId="0" fontId="19" fillId="0" borderId="4" applyProtection="1" pivotButton="0" quotePrefix="0" xfId="0">
      <protection locked="0" hidden="0"/>
    </xf>
    <xf numFmtId="2" fontId="19" fillId="0" borderId="4" applyProtection="1" pivotButton="0" quotePrefix="0" xfId="0">
      <protection locked="0" hidden="0"/>
    </xf>
    <xf numFmtId="0" fontId="15" fillId="0" borderId="13" applyAlignment="1" pivotButton="0" quotePrefix="0" xfId="0">
      <alignment vertical="center"/>
    </xf>
    <xf numFmtId="2" fontId="19" fillId="0" borderId="0" pivotButton="0" quotePrefix="0" xfId="0"/>
    <xf numFmtId="2" fontId="16" fillId="9" borderId="0" applyProtection="1" pivotButton="0" quotePrefix="0" xfId="0">
      <protection locked="0" hidden="0"/>
    </xf>
    <xf numFmtId="2" fontId="15" fillId="0" borderId="3" applyProtection="1" pivotButton="0" quotePrefix="0" xfId="0">
      <protection locked="0" hidden="0"/>
    </xf>
    <xf numFmtId="2" fontId="17" fillId="0" borderId="2" applyProtection="1" pivotButton="0" quotePrefix="0" xfId="0">
      <protection locked="0" hidden="0"/>
    </xf>
    <xf numFmtId="0" fontId="24" fillId="0" borderId="0" applyProtection="1" pivotButton="0" quotePrefix="0" xfId="0">
      <protection locked="0" hidden="0"/>
    </xf>
    <xf numFmtId="0" fontId="21" fillId="0" borderId="0" applyProtection="1" pivotButton="0" quotePrefix="0" xfId="0">
      <protection locked="0" hidden="0"/>
    </xf>
    <xf numFmtId="0" fontId="25" fillId="0" borderId="0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5" fillId="0" borderId="4" applyProtection="1" pivotButton="0" quotePrefix="0" xfId="0">
      <protection locked="0" hidden="0"/>
    </xf>
    <xf numFmtId="2" fontId="21" fillId="0" borderId="0" applyProtection="1" pivotButton="0" quotePrefix="0" xfId="10">
      <protection locked="0" hidden="0"/>
    </xf>
    <xf numFmtId="166" fontId="16" fillId="0" borderId="0" applyAlignment="1" applyProtection="1" pivotButton="0" quotePrefix="0" xfId="0">
      <alignment horizontal="center"/>
      <protection locked="0" hidden="0"/>
    </xf>
    <xf numFmtId="166" fontId="16" fillId="0" borderId="6" applyAlignment="1" applyProtection="1" pivotButton="0" quotePrefix="0" xfId="0">
      <alignment horizontal="center"/>
      <protection locked="0" hidden="0"/>
    </xf>
    <xf numFmtId="164" fontId="14" fillId="0" borderId="5" applyAlignment="1" pivotButton="0" quotePrefix="0" xfId="6">
      <alignment horizontal="center"/>
    </xf>
    <xf numFmtId="167" fontId="0" fillId="0" borderId="0" pivotButton="0" quotePrefix="0" xfId="0"/>
    <xf numFmtId="166" fontId="16" fillId="0" borderId="6" applyAlignment="1" applyProtection="1" pivotButton="0" quotePrefix="0" xfId="0">
      <alignment horizontal="center"/>
      <protection locked="0" hidden="0"/>
    </xf>
    <xf numFmtId="0" fontId="0" fillId="0" borderId="6" applyProtection="1" pivotButton="0" quotePrefix="0" xfId="0">
      <protection locked="0" hidden="0"/>
    </xf>
    <xf numFmtId="165" fontId="17" fillId="0" borderId="0" pivotButton="0" quotePrefix="0" xfId="0"/>
    <xf numFmtId="167" fontId="0" fillId="0" borderId="0" pivotButton="0" quotePrefix="0" xfId="0"/>
  </cellXfs>
  <cellStyles count="11">
    <cellStyle name="Normal" xfId="0" builtinId="0"/>
    <cellStyle name="Date" xfId="1"/>
    <cellStyle name="En-tête 1" xfId="2"/>
    <cellStyle name="En-tête 2" xfId="3"/>
    <cellStyle name="Fixe" xfId="4"/>
    <cellStyle name="Monétaire0" xfId="5"/>
    <cellStyle name="Normal 2" xfId="6"/>
    <cellStyle name="Percent" xfId="7" builtinId="5"/>
    <cellStyle name="Total" xfId="8" builtinId="25"/>
    <cellStyle name="Virgule0" xfId="9"/>
    <cellStyle name="Currency" xfId="10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Suzan Mahdi</author>
    <author>Auditeur De Nuit</author>
    <author>Windows User</author>
  </authors>
  <commentList>
    <comment ref="D68" authorId="0" shapeId="0">
      <text>
        <t>Suzan Mahdi:
Formule, ne pas touchez SVP</t>
      </text>
    </comment>
    <comment ref="H68" authorId="0" shapeId="0">
      <text>
        <t>Suzan Mahdi:
Formule, ne pas touchez SVP</t>
      </text>
    </comment>
    <comment ref="L68" authorId="0" shapeId="0">
      <text>
        <t>Suzan Mahdi:
Formule, ne pas touchez SVP</t>
      </text>
    </comment>
    <comment ref="P68" authorId="0" shapeId="0">
      <text>
        <t>Suzan Mahdi:
Formule, ne pas touchez SVP</t>
      </text>
    </comment>
    <comment ref="T68" authorId="0" shapeId="0">
      <text>
        <t>Suzan Mahdi:
Formule, ne pas touchez SVP</t>
      </text>
    </comment>
    <comment ref="X68" authorId="0" shapeId="0">
      <text>
        <t>Suzan Mahdi:
Formule, ne pas touchez SVP</t>
      </text>
    </comment>
    <comment ref="AB68" authorId="0" shapeId="0">
      <text>
        <t>Suzan Mahdi:
Formule, ne pas touchez SVP</t>
      </text>
    </comment>
    <comment ref="AF68" authorId="0" shapeId="0">
      <text>
        <t>Suzan Mahdi:
Formule, ne pas touchez SVP</t>
      </text>
    </comment>
    <comment ref="AJ68" authorId="0" shapeId="0">
      <text>
        <t>Suzan Mahdi:
Formule, ne pas touchez SVP</t>
      </text>
    </comment>
    <comment ref="AN68" authorId="0" shapeId="0">
      <text>
        <t>Suzan Mahdi:
Formule, ne pas touchez SVP</t>
      </text>
    </comment>
    <comment ref="AR68" authorId="0" shapeId="0">
      <text>
        <t>Suzan Mahdi:
Formule, ne pas touchez SVP</t>
      </text>
    </comment>
    <comment ref="AV68" authorId="0" shapeId="0">
      <text>
        <t>Suzan Mahdi:
Formule, ne pas touchez SVP</t>
      </text>
    </comment>
    <comment ref="AZ68" authorId="0" shapeId="0">
      <text>
        <t>Suzan Mahdi:
Formule, ne pas touchez SVP</t>
      </text>
    </comment>
    <comment ref="BD68" authorId="0" shapeId="0">
      <text>
        <t>Suzan Mahdi:
Formule, ne pas touchez SVP</t>
      </text>
    </comment>
    <comment ref="H70" authorId="1" shapeId="0">
      <text>
        <t>Auditeur De Nuit:
MONTANT MANQUANT UNE FEUILLE REMPLIE MAIS LES VENTES NAPPARAISSENT PAS</t>
      </text>
    </comment>
    <comment ref="T70" authorId="2" shapeId="0">
      <text>
        <t>Windows User:
Formule, ne pas touchez SVP</t>
      </text>
    </comment>
    <comment ref="X70" authorId="2" shapeId="0">
      <text>
        <t>Windows User:
Formule, ne pas touchez SVP</t>
      </text>
    </comment>
    <comment ref="AB70" authorId="2" shapeId="0">
      <text>
        <t>Windows User:
Formule, ne pas touchez SVP</t>
      </text>
    </comment>
    <comment ref="AF70" authorId="2" shapeId="0">
      <text>
        <t>Windows User:
Formule, ne pas touchez SVP</t>
      </text>
    </comment>
    <comment ref="AJ70" authorId="2" shapeId="0">
      <text>
        <t>Windows User:
Formule, ne pas touchez SVP</t>
      </text>
    </comment>
    <comment ref="AN70" authorId="2" shapeId="0">
      <text>
        <t>Windows User:
Formule, ne pas touchez SVP</t>
      </text>
    </comment>
    <comment ref="AR70" authorId="2" shapeId="0">
      <text>
        <t>Windows User:
Formule, ne pas touchez SVP</t>
      </text>
    </comment>
    <comment ref="AV70" authorId="2" shapeId="0">
      <text>
        <t>Windows User:
Formule, ne pas touchez SVP</t>
      </text>
    </comment>
    <comment ref="AZ70" authorId="2" shapeId="0">
      <text>
        <t>Windows User:
Formule, ne pas touchez SVP</t>
      </text>
    </comment>
    <comment ref="BD70" authorId="2" shapeId="0">
      <text>
        <t>Windows User:
Formule, ne pas touchez SVP</t>
      </text>
    </comment>
    <comment ref="P71" authorId="1" shapeId="0">
      <text>
        <t>Auditeur De Nuit:
NEED TO REDO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P63"/>
  <sheetViews>
    <sheetView zoomScaleNormal="100" workbookViewId="0">
      <pane ySplit="2" topLeftCell="A3" activePane="bottomLeft" state="frozen"/>
      <selection pane="bottomLeft" activeCell="M16" sqref="M16"/>
    </sheetView>
  </sheetViews>
  <sheetFormatPr baseColWidth="8" defaultColWidth="11.42578125" defaultRowHeight="12.75"/>
  <cols>
    <col width="12" customWidth="1" min="1" max="1"/>
    <col width="10.5703125" bestFit="1" customWidth="1" min="2" max="2"/>
    <col width="10.5703125" customWidth="1" min="3" max="3"/>
    <col width="21" bestFit="1" customWidth="1" min="4" max="4"/>
    <col width="13" bestFit="1" customWidth="1" min="5" max="5"/>
    <col width="11.7109375" bestFit="1" customWidth="1" min="6" max="6"/>
    <col hidden="1" width="11.140625" customWidth="1" min="7" max="12"/>
    <col width="14.85546875" bestFit="1" customWidth="1" min="13" max="15"/>
    <col width="11.85546875" bestFit="1" customWidth="1" min="16" max="16"/>
  </cols>
  <sheetData>
    <row r="1">
      <c r="A1" s="19" t="inlineStr">
        <is>
          <t>Compagnie</t>
        </is>
      </c>
      <c r="B1" s="20" t="inlineStr">
        <is>
          <t>Matricule</t>
        </is>
      </c>
      <c r="C1" s="20" t="n"/>
      <c r="D1" s="21" t="inlineStr">
        <is>
          <t>Nom, prénom</t>
        </is>
      </c>
      <c r="E1" s="21" t="inlineStr">
        <is>
          <t>No relevé</t>
        </is>
      </c>
      <c r="F1" s="115" t="inlineStr">
        <is>
          <t>Période</t>
        </is>
      </c>
      <c r="G1" s="23" t="inlineStr">
        <is>
          <t>TRAV 1</t>
        </is>
      </c>
      <c r="H1" s="23" t="inlineStr">
        <is>
          <t>TRAV 2</t>
        </is>
      </c>
      <c r="I1" s="23" t="inlineStr">
        <is>
          <t>TRAV 3</t>
        </is>
      </c>
      <c r="J1" s="23" t="inlineStr">
        <is>
          <t>TRAV 4</t>
        </is>
      </c>
      <c r="K1" s="23" t="inlineStr">
        <is>
          <t>TRAV 5</t>
        </is>
      </c>
      <c r="L1" s="24" t="inlineStr">
        <is>
          <t>TRAV 6</t>
        </is>
      </c>
      <c r="M1" s="26" t="inlineStr">
        <is>
          <t>G730(Montant)</t>
        </is>
      </c>
      <c r="N1" s="26" t="inlineStr">
        <is>
          <t>G731(Montant)</t>
        </is>
      </c>
      <c r="O1" s="26" t="inlineStr">
        <is>
          <t>G809(Montant)</t>
        </is>
      </c>
      <c r="P1" s="26" t="inlineStr">
        <is>
          <t>G(Montant)</t>
        </is>
      </c>
    </row>
    <row r="2">
      <c r="A2" s="25" t="inlineStr">
        <is>
          <t>**</t>
        </is>
      </c>
      <c r="B2" s="29" t="n"/>
      <c r="C2" s="29" t="n"/>
      <c r="D2" s="29" t="n"/>
      <c r="E2" s="29" t="n"/>
      <c r="F2" s="29" t="n"/>
      <c r="G2" s="25" t="n"/>
      <c r="H2" s="25" t="n"/>
      <c r="I2" s="25" t="n"/>
      <c r="J2" s="25" t="n"/>
      <c r="K2" s="25" t="n"/>
      <c r="L2" s="25" t="n"/>
      <c r="M2" s="27" t="inlineStr">
        <is>
          <t>VENTE TOT.</t>
        </is>
      </c>
      <c r="N2" s="27" t="inlineStr">
        <is>
          <t>POURB BRUT</t>
        </is>
      </c>
      <c r="O2" s="30" t="inlineStr">
        <is>
          <t>POURB.DECLARES</t>
        </is>
      </c>
      <c r="P2" s="30" t="inlineStr">
        <is>
          <t>pourb attribué</t>
        </is>
      </c>
    </row>
    <row r="3">
      <c r="A3" s="25" t="n">
        <v>8643</v>
      </c>
      <c r="B3" s="31">
        <f>+Sommaire!A9</f>
        <v/>
      </c>
      <c r="C3" s="31">
        <f>RIGHT(CONCATENATE("000",B3),6)</f>
        <v/>
      </c>
      <c r="D3">
        <f>+Sommaire!B9</f>
        <v/>
      </c>
      <c r="E3" t="n">
        <v>0</v>
      </c>
      <c r="F3" s="32" t="n">
        <v>46075</v>
      </c>
      <c r="M3" s="1">
        <f>+Sommaire!BI9</f>
        <v/>
      </c>
      <c r="N3" s="1">
        <f>+Sommaire!BJ9</f>
        <v/>
      </c>
      <c r="O3" s="1">
        <f>+Sommaire!BO9</f>
        <v/>
      </c>
      <c r="P3" s="1">
        <f>+Sommaire!BP9</f>
        <v/>
      </c>
    </row>
    <row r="4">
      <c r="A4" s="25" t="n">
        <v>8643</v>
      </c>
      <c r="B4" s="31">
        <f>+Sommaire!A10</f>
        <v/>
      </c>
      <c r="C4" s="31">
        <f>RIGHT(CONCATENATE("000",B4),6)</f>
        <v/>
      </c>
      <c r="D4">
        <f>+Sommaire!B10</f>
        <v/>
      </c>
      <c r="E4" t="n">
        <v>0</v>
      </c>
      <c r="F4" s="32" t="n">
        <v>46075</v>
      </c>
      <c r="M4" s="1">
        <f>+Sommaire!BI10</f>
        <v/>
      </c>
      <c r="N4" s="1">
        <f>+Sommaire!BJ10</f>
        <v/>
      </c>
      <c r="O4" s="1">
        <f>+Sommaire!BO10</f>
        <v/>
      </c>
      <c r="P4" s="1">
        <f>+Sommaire!BP10</f>
        <v/>
      </c>
    </row>
    <row r="5">
      <c r="A5" s="25" t="n">
        <v>8643</v>
      </c>
      <c r="B5" s="31">
        <f>+Sommaire!A11</f>
        <v/>
      </c>
      <c r="C5" s="31">
        <f>RIGHT(CONCATENATE("000",B5),6)</f>
        <v/>
      </c>
      <c r="D5">
        <f>+Sommaire!B11</f>
        <v/>
      </c>
      <c r="E5" t="n">
        <v>0</v>
      </c>
      <c r="F5" s="32" t="n">
        <v>46075</v>
      </c>
      <c r="M5" s="1">
        <f>+Sommaire!BI11</f>
        <v/>
      </c>
      <c r="N5" s="1">
        <f>+Sommaire!BJ11</f>
        <v/>
      </c>
      <c r="O5" s="1">
        <f>+Sommaire!BO11</f>
        <v/>
      </c>
      <c r="P5" s="1">
        <f>+Sommaire!BP11</f>
        <v/>
      </c>
    </row>
    <row r="6">
      <c r="A6" s="25" t="n">
        <v>8643</v>
      </c>
      <c r="B6" s="31">
        <f>+Sommaire!A12</f>
        <v/>
      </c>
      <c r="C6" s="31">
        <f>RIGHT(CONCATENATE("000",B6),6)</f>
        <v/>
      </c>
      <c r="D6">
        <f>+Sommaire!B12</f>
        <v/>
      </c>
      <c r="E6" t="n">
        <v>0</v>
      </c>
      <c r="F6" s="32" t="n">
        <v>46075</v>
      </c>
      <c r="M6" s="1">
        <f>+Sommaire!BI12</f>
        <v/>
      </c>
      <c r="N6" s="1">
        <f>+Sommaire!BJ12</f>
        <v/>
      </c>
      <c r="O6" s="1">
        <f>+Sommaire!BO12</f>
        <v/>
      </c>
      <c r="P6" s="1">
        <f>+Sommaire!BP12</f>
        <v/>
      </c>
    </row>
    <row r="7">
      <c r="A7" s="25" t="n">
        <v>8643</v>
      </c>
      <c r="B7" s="31">
        <f>+Sommaire!A13</f>
        <v/>
      </c>
      <c r="C7" s="31">
        <f>RIGHT(CONCATENATE("000",B7),6)</f>
        <v/>
      </c>
      <c r="D7">
        <f>+Sommaire!B13</f>
        <v/>
      </c>
      <c r="E7" t="n">
        <v>0</v>
      </c>
      <c r="F7" s="32" t="n">
        <v>46075</v>
      </c>
      <c r="M7" s="1">
        <f>+Sommaire!BI13</f>
        <v/>
      </c>
      <c r="N7" s="1">
        <f>+Sommaire!BJ13</f>
        <v/>
      </c>
      <c r="O7" s="1">
        <f>+Sommaire!BO13</f>
        <v/>
      </c>
      <c r="P7" s="1">
        <f>+Sommaire!BP13</f>
        <v/>
      </c>
    </row>
    <row r="8">
      <c r="A8" s="25" t="n">
        <v>8643</v>
      </c>
      <c r="B8" s="31">
        <f>+Sommaire!A14</f>
        <v/>
      </c>
      <c r="C8" s="31">
        <f>RIGHT(CONCATENATE("000",B8),6)</f>
        <v/>
      </c>
      <c r="D8">
        <f>+Sommaire!B14</f>
        <v/>
      </c>
      <c r="E8" t="n">
        <v>0</v>
      </c>
      <c r="F8" s="32" t="n">
        <v>46075</v>
      </c>
      <c r="M8" s="1">
        <f>+Sommaire!BI14</f>
        <v/>
      </c>
      <c r="N8" s="1">
        <f>+Sommaire!BJ14</f>
        <v/>
      </c>
      <c r="O8" s="1">
        <f>+Sommaire!BO14</f>
        <v/>
      </c>
      <c r="P8" s="1">
        <f>+Sommaire!BP14</f>
        <v/>
      </c>
    </row>
    <row r="9">
      <c r="A9" s="25" t="n">
        <v>8643</v>
      </c>
      <c r="B9" s="31">
        <f>+Sommaire!A15</f>
        <v/>
      </c>
      <c r="C9" s="31">
        <f>RIGHT(CONCATENATE("000",B9),6)</f>
        <v/>
      </c>
      <c r="D9">
        <f>+Sommaire!B15</f>
        <v/>
      </c>
      <c r="E9" t="n">
        <v>0</v>
      </c>
      <c r="F9" s="32" t="n">
        <v>46075</v>
      </c>
      <c r="M9" s="1">
        <f>+Sommaire!BI15</f>
        <v/>
      </c>
      <c r="N9" s="1">
        <f>+Sommaire!BJ15</f>
        <v/>
      </c>
      <c r="O9" s="1">
        <f>+Sommaire!BO15</f>
        <v/>
      </c>
      <c r="P9" s="1">
        <f>+Sommaire!BP15</f>
        <v/>
      </c>
    </row>
    <row r="10">
      <c r="A10" s="25" t="n">
        <v>8643</v>
      </c>
      <c r="B10" s="31">
        <f>+Sommaire!A16</f>
        <v/>
      </c>
      <c r="C10" s="31">
        <f>RIGHT(CONCATENATE("000",B10),6)</f>
        <v/>
      </c>
      <c r="D10">
        <f>+Sommaire!B16</f>
        <v/>
      </c>
      <c r="E10" t="n">
        <v>0</v>
      </c>
      <c r="F10" s="32" t="n">
        <v>46075</v>
      </c>
      <c r="M10" s="1">
        <f>+Sommaire!BI16</f>
        <v/>
      </c>
      <c r="N10" s="1">
        <f>+Sommaire!BJ16</f>
        <v/>
      </c>
      <c r="O10" s="1">
        <f>+Sommaire!BO16</f>
        <v/>
      </c>
      <c r="P10" s="1">
        <f>+Sommaire!BP16</f>
        <v/>
      </c>
    </row>
    <row r="11">
      <c r="A11" s="25" t="n">
        <v>8643</v>
      </c>
      <c r="B11" s="31">
        <f>+Sommaire!A17</f>
        <v/>
      </c>
      <c r="C11" s="31">
        <f>RIGHT(CONCATENATE("000",B11),6)</f>
        <v/>
      </c>
      <c r="D11">
        <f>+Sommaire!B17</f>
        <v/>
      </c>
      <c r="E11" t="n">
        <v>0</v>
      </c>
      <c r="F11" s="32" t="n">
        <v>46075</v>
      </c>
      <c r="M11" s="1">
        <f>+Sommaire!BI17</f>
        <v/>
      </c>
      <c r="N11" s="1">
        <f>+Sommaire!BJ17</f>
        <v/>
      </c>
      <c r="O11" s="1">
        <f>+Sommaire!BO17</f>
        <v/>
      </c>
      <c r="P11" s="1">
        <f>+Sommaire!BP17</f>
        <v/>
      </c>
    </row>
    <row r="12">
      <c r="A12" s="25" t="n">
        <v>8643</v>
      </c>
      <c r="B12" s="31">
        <f>+Sommaire!A18</f>
        <v/>
      </c>
      <c r="C12" s="31">
        <f>RIGHT(CONCATENATE("000",B12),6)</f>
        <v/>
      </c>
      <c r="D12">
        <f>+Sommaire!B18</f>
        <v/>
      </c>
      <c r="E12" t="n">
        <v>0</v>
      </c>
      <c r="F12" s="32" t="n">
        <v>46075</v>
      </c>
      <c r="M12" s="1">
        <f>+Sommaire!BI18</f>
        <v/>
      </c>
      <c r="N12" s="1">
        <f>+Sommaire!BJ18</f>
        <v/>
      </c>
      <c r="O12" s="1">
        <f>+Sommaire!BO18</f>
        <v/>
      </c>
      <c r="P12" s="1">
        <f>+Sommaire!BP18</f>
        <v/>
      </c>
    </row>
    <row r="13">
      <c r="A13" s="25" t="n">
        <v>8643</v>
      </c>
      <c r="B13" s="31">
        <f>+Sommaire!A19</f>
        <v/>
      </c>
      <c r="C13" s="31">
        <f>RIGHT(CONCATENATE("000",B13),6)</f>
        <v/>
      </c>
      <c r="D13">
        <f>+Sommaire!B19</f>
        <v/>
      </c>
      <c r="E13" t="n">
        <v>0</v>
      </c>
      <c r="F13" s="32" t="n">
        <v>46075</v>
      </c>
      <c r="M13" s="1">
        <f>+Sommaire!BI19</f>
        <v/>
      </c>
      <c r="N13" s="1">
        <f>+Sommaire!BJ19</f>
        <v/>
      </c>
      <c r="O13" s="1">
        <f>+Sommaire!BO19</f>
        <v/>
      </c>
      <c r="P13" s="1">
        <f>+Sommaire!BP19</f>
        <v/>
      </c>
    </row>
    <row r="14">
      <c r="A14" s="25" t="n">
        <v>8643</v>
      </c>
      <c r="B14" s="31">
        <f>+Sommaire!A20</f>
        <v/>
      </c>
      <c r="C14" s="31">
        <f>RIGHT(CONCATENATE("000",B14),6)</f>
        <v/>
      </c>
      <c r="D14">
        <f>+Sommaire!B20</f>
        <v/>
      </c>
      <c r="E14" t="n">
        <v>0</v>
      </c>
      <c r="F14" s="32" t="n">
        <v>46075</v>
      </c>
      <c r="M14" s="1">
        <f>+Sommaire!BI20</f>
        <v/>
      </c>
      <c r="N14" s="1">
        <f>+Sommaire!BJ20</f>
        <v/>
      </c>
      <c r="O14" s="1">
        <f>+Sommaire!BO20</f>
        <v/>
      </c>
      <c r="P14" s="1">
        <f>+Sommaire!BP20</f>
        <v/>
      </c>
    </row>
    <row r="15">
      <c r="A15" s="25" t="n">
        <v>8643</v>
      </c>
      <c r="B15" s="31">
        <f>+Sommaire!A21</f>
        <v/>
      </c>
      <c r="C15" s="31">
        <f>RIGHT(CONCATENATE("000",B15),6)</f>
        <v/>
      </c>
      <c r="D15">
        <f>+Sommaire!B21</f>
        <v/>
      </c>
      <c r="E15" t="n">
        <v>0</v>
      </c>
      <c r="F15" s="32" t="n">
        <v>46075</v>
      </c>
      <c r="M15" s="1">
        <f>+Sommaire!BI21</f>
        <v/>
      </c>
      <c r="N15" s="1">
        <f>+Sommaire!BJ21</f>
        <v/>
      </c>
      <c r="O15" s="1">
        <f>+Sommaire!BO21</f>
        <v/>
      </c>
      <c r="P15" s="1">
        <f>+Sommaire!BP21</f>
        <v/>
      </c>
    </row>
    <row r="16">
      <c r="A16" s="25" t="n">
        <v>8643</v>
      </c>
      <c r="B16" s="31">
        <f>+Sommaire!A22</f>
        <v/>
      </c>
      <c r="C16" s="31">
        <f>RIGHT(CONCATENATE("000",B16),6)</f>
        <v/>
      </c>
      <c r="D16">
        <f>+Sommaire!B22</f>
        <v/>
      </c>
      <c r="E16" t="n">
        <v>0</v>
      </c>
      <c r="F16" s="32" t="n">
        <v>46075</v>
      </c>
      <c r="M16" s="1">
        <f>+Sommaire!BI22</f>
        <v/>
      </c>
      <c r="N16" s="1">
        <f>+Sommaire!BJ22</f>
        <v/>
      </c>
      <c r="O16" s="1">
        <f>+Sommaire!BO22</f>
        <v/>
      </c>
      <c r="P16" s="1">
        <f>+Sommaire!BP22</f>
        <v/>
      </c>
    </row>
    <row r="17">
      <c r="A17" s="25" t="n">
        <v>8643</v>
      </c>
      <c r="B17" s="31">
        <f>+Sommaire!A23</f>
        <v/>
      </c>
      <c r="C17" s="31">
        <f>RIGHT(CONCATENATE("000",B17),6)</f>
        <v/>
      </c>
      <c r="D17">
        <f>+Sommaire!B23</f>
        <v/>
      </c>
      <c r="E17" t="n">
        <v>0</v>
      </c>
      <c r="F17" s="32" t="n">
        <v>46075</v>
      </c>
      <c r="M17" s="1">
        <f>+Sommaire!BI23</f>
        <v/>
      </c>
      <c r="N17" s="1">
        <f>+Sommaire!BJ23</f>
        <v/>
      </c>
      <c r="O17" s="1">
        <f>+Sommaire!BO23</f>
        <v/>
      </c>
      <c r="P17" s="1">
        <f>+Sommaire!BP23</f>
        <v/>
      </c>
    </row>
    <row r="18">
      <c r="A18" s="25" t="n">
        <v>8643</v>
      </c>
      <c r="B18" s="31">
        <f>+Sommaire!A24</f>
        <v/>
      </c>
      <c r="C18" s="31">
        <f>RIGHT(CONCATENATE("000",B18),6)</f>
        <v/>
      </c>
      <c r="D18">
        <f>+Sommaire!B24</f>
        <v/>
      </c>
      <c r="E18" t="n">
        <v>0</v>
      </c>
      <c r="F18" s="32" t="n">
        <v>46075</v>
      </c>
      <c r="M18" s="1">
        <f>+Sommaire!BI24</f>
        <v/>
      </c>
      <c r="N18" s="1">
        <f>+Sommaire!BJ24</f>
        <v/>
      </c>
      <c r="O18" s="1">
        <f>+Sommaire!BO24</f>
        <v/>
      </c>
      <c r="P18" s="1">
        <f>+Sommaire!BP24</f>
        <v/>
      </c>
    </row>
    <row r="19">
      <c r="A19" s="25" t="n">
        <v>8643</v>
      </c>
      <c r="B19" s="31">
        <f>+Sommaire!A25</f>
        <v/>
      </c>
      <c r="C19" s="31">
        <f>RIGHT(CONCATENATE("000",B19),6)</f>
        <v/>
      </c>
      <c r="D19">
        <f>+Sommaire!B25</f>
        <v/>
      </c>
      <c r="E19" t="n">
        <v>0</v>
      </c>
      <c r="F19" s="32" t="n">
        <v>46075</v>
      </c>
      <c r="M19" s="1">
        <f>+Sommaire!BI25</f>
        <v/>
      </c>
      <c r="N19" s="1">
        <f>+Sommaire!BJ25</f>
        <v/>
      </c>
      <c r="O19" s="1">
        <f>+Sommaire!BO25</f>
        <v/>
      </c>
      <c r="P19" s="1">
        <f>+Sommaire!BP25</f>
        <v/>
      </c>
    </row>
    <row r="20">
      <c r="A20" s="25" t="n">
        <v>8643</v>
      </c>
      <c r="B20" s="31">
        <f>+Sommaire!A26</f>
        <v/>
      </c>
      <c r="C20" s="31">
        <f>RIGHT(CONCATENATE("000",B20),6)</f>
        <v/>
      </c>
      <c r="D20">
        <f>+Sommaire!B26</f>
        <v/>
      </c>
      <c r="E20" t="n">
        <v>0</v>
      </c>
      <c r="F20" s="32" t="n">
        <v>46075</v>
      </c>
      <c r="M20" s="1">
        <f>+Sommaire!BI26</f>
        <v/>
      </c>
      <c r="N20" s="1">
        <f>+Sommaire!BJ26</f>
        <v/>
      </c>
      <c r="O20" s="1">
        <f>+Sommaire!BO26</f>
        <v/>
      </c>
      <c r="P20" s="1">
        <f>+Sommaire!BP26</f>
        <v/>
      </c>
    </row>
    <row r="21">
      <c r="A21" s="25" t="n">
        <v>8643</v>
      </c>
      <c r="B21" s="31">
        <f>+Sommaire!A27</f>
        <v/>
      </c>
      <c r="C21" s="31">
        <f>RIGHT(CONCATENATE("000",B21),6)</f>
        <v/>
      </c>
      <c r="D21">
        <f>+Sommaire!B27</f>
        <v/>
      </c>
      <c r="E21" t="n">
        <v>0</v>
      </c>
      <c r="F21" s="32" t="n">
        <v>46075</v>
      </c>
      <c r="M21" s="1">
        <f>+Sommaire!BI27</f>
        <v/>
      </c>
      <c r="N21" s="1">
        <f>+Sommaire!BJ27</f>
        <v/>
      </c>
      <c r="O21" s="1">
        <f>+Sommaire!BO27</f>
        <v/>
      </c>
      <c r="P21" s="1">
        <f>+Sommaire!BP27</f>
        <v/>
      </c>
    </row>
    <row r="22">
      <c r="A22" s="25" t="n">
        <v>8643</v>
      </c>
      <c r="B22" s="31">
        <f>+Sommaire!A28</f>
        <v/>
      </c>
      <c r="C22" s="31">
        <f>RIGHT(CONCATENATE("000",B22),6)</f>
        <v/>
      </c>
      <c r="D22">
        <f>+Sommaire!B28</f>
        <v/>
      </c>
      <c r="E22" t="n">
        <v>0</v>
      </c>
      <c r="F22" s="32" t="n">
        <v>46075</v>
      </c>
      <c r="M22" s="1">
        <f>+Sommaire!BI28</f>
        <v/>
      </c>
      <c r="N22" s="1">
        <f>+Sommaire!BJ28</f>
        <v/>
      </c>
      <c r="O22" s="1">
        <f>+Sommaire!BO28</f>
        <v/>
      </c>
      <c r="P22" s="1">
        <f>+Sommaire!BP28</f>
        <v/>
      </c>
    </row>
    <row r="23">
      <c r="A23" s="25" t="n">
        <v>8643</v>
      </c>
      <c r="B23" s="31">
        <f>+Sommaire!A29</f>
        <v/>
      </c>
      <c r="C23" s="31">
        <f>RIGHT(CONCATENATE("000",B23),6)</f>
        <v/>
      </c>
      <c r="D23">
        <f>+Sommaire!B29</f>
        <v/>
      </c>
      <c r="E23" t="n">
        <v>0</v>
      </c>
      <c r="F23" s="32" t="n">
        <v>46075</v>
      </c>
      <c r="M23" s="1">
        <f>+Sommaire!BI29</f>
        <v/>
      </c>
      <c r="N23" s="1">
        <f>+Sommaire!BJ29</f>
        <v/>
      </c>
      <c r="O23" s="1">
        <f>+Sommaire!BO29</f>
        <v/>
      </c>
      <c r="P23" s="1">
        <f>+Sommaire!BP29</f>
        <v/>
      </c>
    </row>
    <row r="24">
      <c r="A24" s="25" t="n">
        <v>8643</v>
      </c>
      <c r="B24" s="31">
        <f>+Sommaire!A30</f>
        <v/>
      </c>
      <c r="C24" s="31">
        <f>RIGHT(CONCATENATE("000",B24),6)</f>
        <v/>
      </c>
      <c r="D24">
        <f>+Sommaire!B30</f>
        <v/>
      </c>
      <c r="E24" t="n">
        <v>0</v>
      </c>
      <c r="F24" s="32" t="n">
        <v>46075</v>
      </c>
      <c r="M24" s="1">
        <f>+Sommaire!BI30</f>
        <v/>
      </c>
      <c r="N24" s="1">
        <f>+Sommaire!BJ30</f>
        <v/>
      </c>
      <c r="O24" s="1">
        <f>+Sommaire!BO30</f>
        <v/>
      </c>
      <c r="P24" s="1">
        <f>+Sommaire!BP30</f>
        <v/>
      </c>
    </row>
    <row r="25">
      <c r="A25" s="25" t="n">
        <v>8643</v>
      </c>
      <c r="B25" s="31">
        <f>+Sommaire!A31</f>
        <v/>
      </c>
      <c r="C25" s="31">
        <f>RIGHT(CONCATENATE("000",B25),6)</f>
        <v/>
      </c>
      <c r="D25">
        <f>+Sommaire!B31</f>
        <v/>
      </c>
      <c r="E25" t="n">
        <v>0</v>
      </c>
      <c r="F25" s="32" t="n">
        <v>46075</v>
      </c>
      <c r="M25" s="1">
        <f>+Sommaire!BI31</f>
        <v/>
      </c>
      <c r="N25" s="1">
        <f>+Sommaire!BJ31</f>
        <v/>
      </c>
      <c r="O25" s="1">
        <f>+Sommaire!BO31</f>
        <v/>
      </c>
      <c r="P25" s="1">
        <f>+Sommaire!BP31</f>
        <v/>
      </c>
    </row>
    <row r="26">
      <c r="A26" s="25" t="n">
        <v>8643</v>
      </c>
      <c r="B26" s="31">
        <f>+Sommaire!A32</f>
        <v/>
      </c>
      <c r="C26" s="31">
        <f>RIGHT(CONCATENATE("000",B26),6)</f>
        <v/>
      </c>
      <c r="D26">
        <f>+Sommaire!B32</f>
        <v/>
      </c>
      <c r="E26" t="n">
        <v>0</v>
      </c>
      <c r="F26" s="32" t="n">
        <v>46075</v>
      </c>
      <c r="M26" s="1">
        <f>+Sommaire!BI32</f>
        <v/>
      </c>
      <c r="N26" s="1">
        <f>+Sommaire!BJ32</f>
        <v/>
      </c>
      <c r="O26" s="1">
        <f>+Sommaire!BO32</f>
        <v/>
      </c>
      <c r="P26" s="1">
        <f>+Sommaire!BP32</f>
        <v/>
      </c>
    </row>
    <row r="27">
      <c r="A27" s="25" t="n">
        <v>8643</v>
      </c>
      <c r="B27" s="31">
        <f>+Sommaire!A33</f>
        <v/>
      </c>
      <c r="C27" s="31">
        <f>RIGHT(CONCATENATE("000",B27),6)</f>
        <v/>
      </c>
      <c r="D27">
        <f>+Sommaire!B33</f>
        <v/>
      </c>
      <c r="E27" t="n">
        <v>0</v>
      </c>
      <c r="F27" s="32" t="n">
        <v>46075</v>
      </c>
      <c r="M27" s="1">
        <f>+Sommaire!BI33</f>
        <v/>
      </c>
      <c r="N27" s="1">
        <f>+Sommaire!BJ33</f>
        <v/>
      </c>
      <c r="O27" s="1">
        <f>+Sommaire!BO33</f>
        <v/>
      </c>
      <c r="P27" s="1">
        <f>+Sommaire!BP33</f>
        <v/>
      </c>
    </row>
    <row r="28">
      <c r="A28" s="25" t="n">
        <v>8643</v>
      </c>
      <c r="B28" s="31">
        <f>+Sommaire!A34</f>
        <v/>
      </c>
      <c r="C28" s="31">
        <f>RIGHT(CONCATENATE("000",B28),6)</f>
        <v/>
      </c>
      <c r="D28">
        <f>+Sommaire!B34</f>
        <v/>
      </c>
      <c r="E28" t="n">
        <v>0</v>
      </c>
      <c r="F28" s="32" t="n">
        <v>46075</v>
      </c>
      <c r="M28" s="1">
        <f>+Sommaire!BI34</f>
        <v/>
      </c>
      <c r="N28" s="1">
        <f>+Sommaire!BJ34</f>
        <v/>
      </c>
      <c r="O28" s="1">
        <f>+Sommaire!BO34</f>
        <v/>
      </c>
      <c r="P28" s="1">
        <f>+Sommaire!BP34</f>
        <v/>
      </c>
    </row>
    <row r="29">
      <c r="A29" s="25" t="n">
        <v>8643</v>
      </c>
      <c r="B29" s="31">
        <f>+Sommaire!A35</f>
        <v/>
      </c>
      <c r="C29" s="31">
        <f>RIGHT(CONCATENATE("000",B29),6)</f>
        <v/>
      </c>
      <c r="D29">
        <f>+Sommaire!B35</f>
        <v/>
      </c>
      <c r="E29" t="n">
        <v>0</v>
      </c>
      <c r="F29" s="32" t="n">
        <v>46075</v>
      </c>
      <c r="M29" s="1">
        <f>+Sommaire!BI35</f>
        <v/>
      </c>
      <c r="N29" s="1">
        <f>+Sommaire!BJ35</f>
        <v/>
      </c>
      <c r="O29" s="1">
        <f>+Sommaire!BO35</f>
        <v/>
      </c>
      <c r="P29" s="1">
        <f>+Sommaire!BP35</f>
        <v/>
      </c>
    </row>
    <row r="30">
      <c r="A30" s="25" t="n">
        <v>8643</v>
      </c>
      <c r="B30" s="31">
        <f>+Sommaire!A36</f>
        <v/>
      </c>
      <c r="C30" s="31">
        <f>RIGHT(CONCATENATE("000",B30),6)</f>
        <v/>
      </c>
      <c r="D30">
        <f>+Sommaire!B36</f>
        <v/>
      </c>
      <c r="E30" t="n">
        <v>0</v>
      </c>
      <c r="F30" s="32" t="n">
        <v>46075</v>
      </c>
      <c r="M30" s="1">
        <f>+Sommaire!BI36</f>
        <v/>
      </c>
      <c r="N30" s="1">
        <f>+Sommaire!BJ36</f>
        <v/>
      </c>
      <c r="O30" s="1">
        <f>+Sommaire!BO36</f>
        <v/>
      </c>
      <c r="P30" s="1">
        <f>+Sommaire!BP36</f>
        <v/>
      </c>
    </row>
    <row r="31">
      <c r="A31" s="25" t="n">
        <v>8643</v>
      </c>
      <c r="B31" s="31">
        <f>+Sommaire!A37</f>
        <v/>
      </c>
      <c r="C31" s="31">
        <f>RIGHT(CONCATENATE("000",B31),6)</f>
        <v/>
      </c>
      <c r="D31">
        <f>+Sommaire!B37</f>
        <v/>
      </c>
      <c r="E31" t="n">
        <v>0</v>
      </c>
      <c r="F31" s="32" t="n">
        <v>46075</v>
      </c>
      <c r="M31" s="1">
        <f>+Sommaire!BI37</f>
        <v/>
      </c>
      <c r="N31" s="1">
        <f>+Sommaire!BJ37</f>
        <v/>
      </c>
      <c r="O31" s="1">
        <f>+Sommaire!BO37</f>
        <v/>
      </c>
      <c r="P31" s="1">
        <f>+Sommaire!BP37</f>
        <v/>
      </c>
    </row>
    <row r="32">
      <c r="A32" s="25" t="n">
        <v>8643</v>
      </c>
      <c r="B32" s="31">
        <f>+Sommaire!A38</f>
        <v/>
      </c>
      <c r="C32" s="31">
        <f>RIGHT(CONCATENATE("000",B32),6)</f>
        <v/>
      </c>
      <c r="D32">
        <f>+Sommaire!B38</f>
        <v/>
      </c>
      <c r="E32" t="n">
        <v>0</v>
      </c>
      <c r="F32" s="32" t="n">
        <v>46075</v>
      </c>
      <c r="M32" s="1">
        <f>+Sommaire!BI38</f>
        <v/>
      </c>
      <c r="N32" s="1">
        <f>+Sommaire!BJ38</f>
        <v/>
      </c>
      <c r="O32" s="1">
        <f>+Sommaire!BO38</f>
        <v/>
      </c>
      <c r="P32" s="1">
        <f>+Sommaire!BP38</f>
        <v/>
      </c>
    </row>
    <row r="33">
      <c r="A33" s="25" t="n">
        <v>8643</v>
      </c>
      <c r="B33" s="31">
        <f>+Sommaire!A39</f>
        <v/>
      </c>
      <c r="C33" s="31">
        <f>RIGHT(CONCATENATE("000",B33),6)</f>
        <v/>
      </c>
      <c r="D33">
        <f>+Sommaire!B39</f>
        <v/>
      </c>
      <c r="E33" t="n">
        <v>0</v>
      </c>
      <c r="F33" s="32" t="n">
        <v>46075</v>
      </c>
      <c r="M33" s="1">
        <f>+Sommaire!BI39</f>
        <v/>
      </c>
      <c r="N33" s="1">
        <f>+Sommaire!BJ39</f>
        <v/>
      </c>
      <c r="O33" s="1">
        <f>+Sommaire!BO39</f>
        <v/>
      </c>
      <c r="P33" s="1">
        <f>+Sommaire!BP39</f>
        <v/>
      </c>
    </row>
    <row r="34">
      <c r="A34" s="25" t="n">
        <v>8643</v>
      </c>
      <c r="B34" s="31">
        <f>+Sommaire!A40</f>
        <v/>
      </c>
      <c r="C34" s="31">
        <f>RIGHT(CONCATENATE("000",B34),6)</f>
        <v/>
      </c>
      <c r="D34">
        <f>+Sommaire!B40</f>
        <v/>
      </c>
      <c r="E34" t="n">
        <v>0</v>
      </c>
      <c r="F34" s="32" t="n">
        <v>46075</v>
      </c>
      <c r="M34" s="1">
        <f>+Sommaire!BI40</f>
        <v/>
      </c>
      <c r="N34" s="1">
        <f>+Sommaire!BJ40</f>
        <v/>
      </c>
      <c r="O34" s="1">
        <f>+Sommaire!BO40</f>
        <v/>
      </c>
      <c r="P34" s="1">
        <f>+Sommaire!BP40</f>
        <v/>
      </c>
    </row>
    <row r="35">
      <c r="A35" s="25" t="n">
        <v>8643</v>
      </c>
      <c r="B35" s="31">
        <f>+Sommaire!A41</f>
        <v/>
      </c>
      <c r="C35" s="31">
        <f>RIGHT(CONCATENATE("000",B35),6)</f>
        <v/>
      </c>
      <c r="D35">
        <f>+Sommaire!B41</f>
        <v/>
      </c>
      <c r="E35" t="n">
        <v>0</v>
      </c>
      <c r="F35" s="32" t="n">
        <v>46075</v>
      </c>
      <c r="M35" s="1">
        <f>+Sommaire!BI41</f>
        <v/>
      </c>
      <c r="N35" s="1">
        <f>+Sommaire!BJ41</f>
        <v/>
      </c>
      <c r="O35" s="1">
        <f>+Sommaire!BO41</f>
        <v/>
      </c>
      <c r="P35" s="1">
        <f>+Sommaire!BP41</f>
        <v/>
      </c>
    </row>
    <row r="36">
      <c r="A36" s="25" t="n">
        <v>8643</v>
      </c>
      <c r="B36" s="31">
        <f>+Sommaire!A42</f>
        <v/>
      </c>
      <c r="C36" s="31">
        <f>RIGHT(CONCATENATE("000",B36),6)</f>
        <v/>
      </c>
      <c r="D36">
        <f>+Sommaire!B42</f>
        <v/>
      </c>
      <c r="E36" t="n">
        <v>0</v>
      </c>
      <c r="F36" s="32" t="n">
        <v>46075</v>
      </c>
      <c r="M36" s="1">
        <f>+Sommaire!BI42</f>
        <v/>
      </c>
      <c r="N36" s="1">
        <f>+Sommaire!BJ42</f>
        <v/>
      </c>
      <c r="O36" s="1">
        <f>+Sommaire!BO42</f>
        <v/>
      </c>
      <c r="P36" s="1">
        <f>+Sommaire!BP42</f>
        <v/>
      </c>
    </row>
    <row r="37">
      <c r="A37" s="25" t="n">
        <v>8643</v>
      </c>
      <c r="B37" s="31">
        <f>+Sommaire!A43</f>
        <v/>
      </c>
      <c r="C37" s="31">
        <f>RIGHT(CONCATENATE("000",B37),6)</f>
        <v/>
      </c>
      <c r="D37">
        <f>+Sommaire!B43</f>
        <v/>
      </c>
      <c r="E37" t="n">
        <v>0</v>
      </c>
      <c r="F37" s="32" t="n">
        <v>46075</v>
      </c>
      <c r="M37" s="1">
        <f>+Sommaire!BI43</f>
        <v/>
      </c>
      <c r="N37" s="1">
        <f>+Sommaire!BJ43</f>
        <v/>
      </c>
      <c r="O37" s="1">
        <f>+Sommaire!BO43</f>
        <v/>
      </c>
      <c r="P37" s="1">
        <f>+Sommaire!BP43</f>
        <v/>
      </c>
    </row>
    <row r="38">
      <c r="A38" s="25" t="n">
        <v>8643</v>
      </c>
      <c r="B38" s="31">
        <f>+Sommaire!A44</f>
        <v/>
      </c>
      <c r="C38" s="31">
        <f>RIGHT(CONCATENATE("000",B38),6)</f>
        <v/>
      </c>
      <c r="D38">
        <f>+Sommaire!B44</f>
        <v/>
      </c>
      <c r="E38" t="n">
        <v>0</v>
      </c>
      <c r="F38" s="32" t="n">
        <v>46075</v>
      </c>
      <c r="M38" s="1">
        <f>+Sommaire!BI44</f>
        <v/>
      </c>
      <c r="N38" s="1">
        <f>+Sommaire!BJ44</f>
        <v/>
      </c>
      <c r="O38" s="1">
        <f>+Sommaire!BO44</f>
        <v/>
      </c>
      <c r="P38" s="1">
        <f>+Sommaire!BP44</f>
        <v/>
      </c>
    </row>
    <row r="39">
      <c r="A39" s="25" t="n">
        <v>8643</v>
      </c>
      <c r="B39" s="31">
        <f>+Sommaire!A45</f>
        <v/>
      </c>
      <c r="C39" s="31">
        <f>RIGHT(CONCATENATE("000",B39),6)</f>
        <v/>
      </c>
      <c r="D39">
        <f>+Sommaire!B45</f>
        <v/>
      </c>
      <c r="E39" t="n">
        <v>0</v>
      </c>
      <c r="F39" s="32" t="n">
        <v>46075</v>
      </c>
      <c r="M39" s="1">
        <f>+Sommaire!BI45</f>
        <v/>
      </c>
      <c r="N39" s="1">
        <f>+Sommaire!BJ45</f>
        <v/>
      </c>
      <c r="O39" s="1">
        <f>+Sommaire!BO45</f>
        <v/>
      </c>
      <c r="P39" s="1">
        <f>+Sommaire!BP45</f>
        <v/>
      </c>
    </row>
    <row r="40">
      <c r="A40" s="25" t="n">
        <v>8643</v>
      </c>
      <c r="B40" s="31">
        <f>+Sommaire!A46</f>
        <v/>
      </c>
      <c r="C40" s="31">
        <f>RIGHT(CONCATENATE("000",B40),6)</f>
        <v/>
      </c>
      <c r="D40">
        <f>+Sommaire!B46</f>
        <v/>
      </c>
      <c r="E40" t="n">
        <v>0</v>
      </c>
      <c r="F40" s="32" t="n">
        <v>46075</v>
      </c>
      <c r="M40" s="1">
        <f>+Sommaire!BI46</f>
        <v/>
      </c>
      <c r="N40" s="1">
        <f>+Sommaire!BJ46</f>
        <v/>
      </c>
      <c r="O40" s="1">
        <f>+Sommaire!BO46</f>
        <v/>
      </c>
      <c r="P40" s="1">
        <f>+Sommaire!BP46</f>
        <v/>
      </c>
    </row>
    <row r="41">
      <c r="A41" s="25" t="n">
        <v>8643</v>
      </c>
      <c r="B41" s="31">
        <f>+Sommaire!A47</f>
        <v/>
      </c>
      <c r="C41" s="31">
        <f>RIGHT(CONCATENATE("000",B41),6)</f>
        <v/>
      </c>
      <c r="D41">
        <f>+Sommaire!B47</f>
        <v/>
      </c>
      <c r="E41" t="n">
        <v>0</v>
      </c>
      <c r="F41" s="32" t="n">
        <v>46075</v>
      </c>
      <c r="M41" s="1">
        <f>+Sommaire!BI47</f>
        <v/>
      </c>
      <c r="N41" s="1">
        <f>+Sommaire!BJ47</f>
        <v/>
      </c>
      <c r="O41" s="1">
        <f>+Sommaire!BO47</f>
        <v/>
      </c>
      <c r="P41" s="1">
        <f>+Sommaire!BP47</f>
        <v/>
      </c>
    </row>
    <row r="42">
      <c r="A42" s="25" t="n">
        <v>8643</v>
      </c>
      <c r="B42" s="31">
        <f>+Sommaire!A48</f>
        <v/>
      </c>
      <c r="C42" s="31">
        <f>RIGHT(CONCATENATE("000",B42),6)</f>
        <v/>
      </c>
      <c r="D42">
        <f>+Sommaire!B48</f>
        <v/>
      </c>
      <c r="E42" t="n">
        <v>0</v>
      </c>
      <c r="F42" s="32" t="n">
        <v>46075</v>
      </c>
      <c r="M42" s="1">
        <f>+Sommaire!BI48</f>
        <v/>
      </c>
      <c r="N42" s="1">
        <f>+Sommaire!BJ48</f>
        <v/>
      </c>
      <c r="O42" s="1">
        <f>+Sommaire!BO48</f>
        <v/>
      </c>
      <c r="P42" s="1">
        <f>+Sommaire!BP48</f>
        <v/>
      </c>
    </row>
    <row r="43">
      <c r="A43" s="25" t="n">
        <v>8643</v>
      </c>
      <c r="B43" s="31">
        <f>+Sommaire!A49</f>
        <v/>
      </c>
      <c r="C43" s="31">
        <f>RIGHT(CONCATENATE("000",B43),6)</f>
        <v/>
      </c>
      <c r="D43">
        <f>+Sommaire!B49</f>
        <v/>
      </c>
      <c r="E43" t="n">
        <v>0</v>
      </c>
      <c r="F43" s="32" t="n">
        <v>46075</v>
      </c>
      <c r="M43" s="1">
        <f>+Sommaire!BI49</f>
        <v/>
      </c>
      <c r="N43" s="1">
        <f>+Sommaire!BJ49</f>
        <v/>
      </c>
      <c r="O43" s="1">
        <f>+Sommaire!BO49</f>
        <v/>
      </c>
      <c r="P43" s="1">
        <f>+Sommaire!BP49</f>
        <v/>
      </c>
    </row>
    <row r="44">
      <c r="A44" s="25" t="n">
        <v>8643</v>
      </c>
      <c r="B44" s="31">
        <f>+Sommaire!A50</f>
        <v/>
      </c>
      <c r="C44" s="31">
        <f>RIGHT(CONCATENATE("000",B44),6)</f>
        <v/>
      </c>
      <c r="D44">
        <f>+Sommaire!B50</f>
        <v/>
      </c>
      <c r="E44" t="n">
        <v>0</v>
      </c>
      <c r="F44" s="32" t="n">
        <v>46075</v>
      </c>
      <c r="M44" s="1">
        <f>+Sommaire!BI50</f>
        <v/>
      </c>
      <c r="N44" s="1">
        <f>+Sommaire!BJ50</f>
        <v/>
      </c>
      <c r="O44" s="1">
        <f>+Sommaire!BO50</f>
        <v/>
      </c>
      <c r="P44" s="1">
        <f>+Sommaire!BP50</f>
        <v/>
      </c>
    </row>
    <row r="45">
      <c r="A45" s="25" t="n">
        <v>8643</v>
      </c>
      <c r="B45" s="31">
        <f>+Sommaire!A51</f>
        <v/>
      </c>
      <c r="C45" s="31">
        <f>RIGHT(CONCATENATE("000",B45),6)</f>
        <v/>
      </c>
      <c r="D45">
        <f>+Sommaire!B51</f>
        <v/>
      </c>
      <c r="E45" t="n">
        <v>0</v>
      </c>
      <c r="F45" s="32" t="n">
        <v>46075</v>
      </c>
      <c r="M45" s="1">
        <f>+Sommaire!BI51</f>
        <v/>
      </c>
      <c r="N45" s="1">
        <f>+Sommaire!BJ51</f>
        <v/>
      </c>
      <c r="O45" s="1">
        <f>+Sommaire!BO51</f>
        <v/>
      </c>
      <c r="P45" s="1">
        <f>+Sommaire!BP51</f>
        <v/>
      </c>
    </row>
    <row r="46">
      <c r="A46" s="25" t="n">
        <v>8643</v>
      </c>
      <c r="B46" s="31">
        <f>+Sommaire!A52</f>
        <v/>
      </c>
      <c r="C46" s="31">
        <f>RIGHT(CONCATENATE("000",B46),6)</f>
        <v/>
      </c>
      <c r="D46">
        <f>+Sommaire!B52</f>
        <v/>
      </c>
      <c r="E46" t="n">
        <v>0</v>
      </c>
      <c r="F46" s="32" t="n">
        <v>46075</v>
      </c>
      <c r="M46" s="1">
        <f>+Sommaire!BI52</f>
        <v/>
      </c>
      <c r="N46" s="1">
        <f>+Sommaire!BJ52</f>
        <v/>
      </c>
      <c r="O46" s="1">
        <f>+Sommaire!BO52</f>
        <v/>
      </c>
      <c r="P46" s="1">
        <f>+Sommaire!BP52</f>
        <v/>
      </c>
    </row>
    <row r="47">
      <c r="A47" s="25" t="n">
        <v>8643</v>
      </c>
      <c r="B47" s="31">
        <f>+Sommaire!A53</f>
        <v/>
      </c>
      <c r="C47" s="31">
        <f>RIGHT(CONCATENATE("000",B47),6)</f>
        <v/>
      </c>
      <c r="D47">
        <f>+Sommaire!B53</f>
        <v/>
      </c>
      <c r="E47" t="n">
        <v>0</v>
      </c>
      <c r="F47" s="32" t="n">
        <v>46075</v>
      </c>
      <c r="M47" s="1">
        <f>+Sommaire!BI53</f>
        <v/>
      </c>
      <c r="N47" s="1">
        <f>+Sommaire!BJ53</f>
        <v/>
      </c>
      <c r="O47" s="1">
        <f>+Sommaire!BO53</f>
        <v/>
      </c>
      <c r="P47" s="1">
        <f>+Sommaire!BP53</f>
        <v/>
      </c>
    </row>
    <row r="48">
      <c r="A48" s="25" t="n">
        <v>8643</v>
      </c>
      <c r="B48" s="31">
        <f>+Sommaire!A54</f>
        <v/>
      </c>
      <c r="C48" s="31">
        <f>RIGHT(CONCATENATE("000",B48),6)</f>
        <v/>
      </c>
      <c r="D48">
        <f>+Sommaire!B54</f>
        <v/>
      </c>
      <c r="E48" t="n">
        <v>0</v>
      </c>
      <c r="F48" s="32" t="n">
        <v>46075</v>
      </c>
      <c r="M48" s="1">
        <f>+Sommaire!BI54</f>
        <v/>
      </c>
      <c r="N48" s="1">
        <f>+Sommaire!BJ54</f>
        <v/>
      </c>
      <c r="O48" s="1">
        <f>+Sommaire!BO54</f>
        <v/>
      </c>
      <c r="P48" s="1">
        <f>+Sommaire!BP54</f>
        <v/>
      </c>
    </row>
    <row r="49">
      <c r="A49" s="25" t="n">
        <v>8643</v>
      </c>
      <c r="B49" s="31">
        <f>+Sommaire!A55</f>
        <v/>
      </c>
      <c r="C49" s="31">
        <f>RIGHT(CONCATENATE("000",B49),6)</f>
        <v/>
      </c>
      <c r="D49">
        <f>+Sommaire!B55</f>
        <v/>
      </c>
      <c r="E49" t="n">
        <v>0</v>
      </c>
      <c r="F49" s="32" t="n">
        <v>46075</v>
      </c>
      <c r="M49" s="1">
        <f>+Sommaire!BI55</f>
        <v/>
      </c>
      <c r="N49" s="1">
        <f>+Sommaire!BJ55</f>
        <v/>
      </c>
      <c r="O49" s="1">
        <f>+Sommaire!BO55</f>
        <v/>
      </c>
      <c r="P49" s="1">
        <f>+Sommaire!BP55</f>
        <v/>
      </c>
    </row>
    <row r="50">
      <c r="A50" s="25" t="n">
        <v>8643</v>
      </c>
      <c r="B50" s="31">
        <f>+Sommaire!A56</f>
        <v/>
      </c>
      <c r="C50" s="31">
        <f>RIGHT(CONCATENATE("000",B50),6)</f>
        <v/>
      </c>
      <c r="D50">
        <f>+Sommaire!B56</f>
        <v/>
      </c>
      <c r="E50" t="n">
        <v>0</v>
      </c>
      <c r="F50" s="32" t="n">
        <v>46075</v>
      </c>
      <c r="M50" s="1">
        <f>+Sommaire!BI56</f>
        <v/>
      </c>
      <c r="N50" s="1">
        <f>+Sommaire!BJ56</f>
        <v/>
      </c>
      <c r="O50" s="1">
        <f>+Sommaire!BO56</f>
        <v/>
      </c>
      <c r="P50" s="1">
        <f>+Sommaire!BP56</f>
        <v/>
      </c>
    </row>
    <row r="51">
      <c r="A51" s="25" t="n">
        <v>8643</v>
      </c>
      <c r="B51" s="31">
        <f>+Sommaire!A57</f>
        <v/>
      </c>
      <c r="C51" s="31">
        <f>RIGHT(CONCATENATE("000",B51),6)</f>
        <v/>
      </c>
      <c r="D51">
        <f>+Sommaire!B57</f>
        <v/>
      </c>
      <c r="E51" t="n">
        <v>0</v>
      </c>
      <c r="F51" s="32" t="n">
        <v>46075</v>
      </c>
      <c r="M51" s="1">
        <f>+Sommaire!BI57</f>
        <v/>
      </c>
      <c r="N51" s="1">
        <f>+Sommaire!BJ57</f>
        <v/>
      </c>
      <c r="O51" s="1">
        <f>+Sommaire!BO57</f>
        <v/>
      </c>
      <c r="P51" s="1">
        <f>+Sommaire!BP57</f>
        <v/>
      </c>
    </row>
    <row r="52" ht="12" customHeight="1">
      <c r="A52" s="25" t="n">
        <v>8643</v>
      </c>
      <c r="B52" s="31">
        <f>+Sommaire!A58</f>
        <v/>
      </c>
      <c r="C52" s="31">
        <f>RIGHT(CONCATENATE("000",B52),6)</f>
        <v/>
      </c>
      <c r="D52">
        <f>+Sommaire!B58</f>
        <v/>
      </c>
      <c r="E52" t="n">
        <v>0</v>
      </c>
      <c r="F52" s="32" t="n">
        <v>46075</v>
      </c>
      <c r="M52" s="1">
        <f>+Sommaire!BI58</f>
        <v/>
      </c>
      <c r="N52" s="1">
        <f>+Sommaire!BJ58</f>
        <v/>
      </c>
      <c r="O52" s="1">
        <f>+Sommaire!BO58</f>
        <v/>
      </c>
      <c r="P52" s="1">
        <f>+Sommaire!BP58</f>
        <v/>
      </c>
    </row>
    <row r="53">
      <c r="A53" s="25" t="n">
        <v>8643</v>
      </c>
      <c r="B53" s="31">
        <f>+Sommaire!A59</f>
        <v/>
      </c>
      <c r="C53" s="31">
        <f>RIGHT(CONCATENATE("000",B53),6)</f>
        <v/>
      </c>
      <c r="D53">
        <f>+Sommaire!B59</f>
        <v/>
      </c>
      <c r="E53" t="n">
        <v>0</v>
      </c>
      <c r="F53" s="32" t="n">
        <v>46075</v>
      </c>
      <c r="M53" s="1">
        <f>+Sommaire!BI59</f>
        <v/>
      </c>
      <c r="N53" s="1">
        <f>+Sommaire!BJ59</f>
        <v/>
      </c>
      <c r="O53" s="1">
        <f>+Sommaire!BO59</f>
        <v/>
      </c>
      <c r="P53" s="1">
        <f>+Sommaire!BP59</f>
        <v/>
      </c>
    </row>
    <row r="54">
      <c r="A54" s="25" t="n">
        <v>8643</v>
      </c>
      <c r="B54" s="31">
        <f>+Sommaire!A60</f>
        <v/>
      </c>
      <c r="C54" s="31">
        <f>RIGHT(CONCATENATE("000",B54),6)</f>
        <v/>
      </c>
      <c r="D54">
        <f>+Sommaire!B60</f>
        <v/>
      </c>
      <c r="E54" t="n">
        <v>0</v>
      </c>
      <c r="F54" s="32" t="n">
        <v>46075</v>
      </c>
      <c r="M54" s="1">
        <f>+Sommaire!BI60</f>
        <v/>
      </c>
      <c r="N54" s="1">
        <f>+Sommaire!BJ60</f>
        <v/>
      </c>
      <c r="O54" s="1">
        <f>+Sommaire!BO60</f>
        <v/>
      </c>
      <c r="P54" s="1">
        <f>+Sommaire!BP60</f>
        <v/>
      </c>
    </row>
    <row r="55">
      <c r="A55" s="25" t="n">
        <v>8643</v>
      </c>
      <c r="B55" s="31">
        <f>+Sommaire!A61</f>
        <v/>
      </c>
      <c r="C55" s="31">
        <f>RIGHT(CONCATENATE("000",B55),6)</f>
        <v/>
      </c>
      <c r="D55">
        <f>+Sommaire!B61</f>
        <v/>
      </c>
      <c r="E55" t="n">
        <v>0</v>
      </c>
      <c r="F55" s="32" t="n">
        <v>46075</v>
      </c>
      <c r="M55" s="1">
        <f>+Sommaire!BI61</f>
        <v/>
      </c>
      <c r="N55" s="1">
        <f>+Sommaire!BJ61</f>
        <v/>
      </c>
      <c r="O55" s="1">
        <f>+Sommaire!BO61</f>
        <v/>
      </c>
      <c r="P55" s="1">
        <f>+Sommaire!BP61</f>
        <v/>
      </c>
    </row>
    <row r="56">
      <c r="A56" s="25" t="n">
        <v>8643</v>
      </c>
      <c r="B56" s="31">
        <f>+Sommaire!A62</f>
        <v/>
      </c>
      <c r="C56" s="31">
        <f>RIGHT(CONCATENATE("000",B56),6)</f>
        <v/>
      </c>
      <c r="D56">
        <f>+Sommaire!B62</f>
        <v/>
      </c>
      <c r="E56" t="n">
        <v>0</v>
      </c>
      <c r="F56" s="32" t="n">
        <v>46075</v>
      </c>
      <c r="M56" s="1">
        <f>+Sommaire!BI62</f>
        <v/>
      </c>
      <c r="N56" s="1">
        <f>+Sommaire!BJ62</f>
        <v/>
      </c>
      <c r="O56" s="1">
        <f>+Sommaire!BO62</f>
        <v/>
      </c>
      <c r="P56" s="1">
        <f>+Sommaire!BP62</f>
        <v/>
      </c>
    </row>
    <row r="57">
      <c r="A57" s="25" t="n">
        <v>8643</v>
      </c>
      <c r="B57" s="31">
        <f>+Sommaire!A63</f>
        <v/>
      </c>
      <c r="C57" s="31">
        <f>RIGHT(CONCATENATE("000",B57),6)</f>
        <v/>
      </c>
      <c r="D57">
        <f>+Sommaire!B63</f>
        <v/>
      </c>
      <c r="E57" t="n">
        <v>0</v>
      </c>
      <c r="F57" s="32" t="n">
        <v>46075</v>
      </c>
      <c r="M57" s="1">
        <f>+Sommaire!BI63</f>
        <v/>
      </c>
      <c r="N57" s="1">
        <f>+Sommaire!BJ63</f>
        <v/>
      </c>
      <c r="O57" s="1">
        <f>+Sommaire!BO63</f>
        <v/>
      </c>
      <c r="P57" s="1">
        <f>+Sommaire!BP63</f>
        <v/>
      </c>
    </row>
    <row r="58">
      <c r="A58" s="25" t="n">
        <v>8644</v>
      </c>
      <c r="B58" s="31">
        <f>+Sommaire!A64</f>
        <v/>
      </c>
      <c r="C58" s="31">
        <f>RIGHT(CONCATENATE("000",B58),6)</f>
        <v/>
      </c>
      <c r="D58">
        <f>+Sommaire!B64</f>
        <v/>
      </c>
      <c r="E58" t="n">
        <v>1</v>
      </c>
      <c r="F58" s="32" t="n">
        <v>46075</v>
      </c>
      <c r="M58" s="1">
        <f>+Sommaire!BI64</f>
        <v/>
      </c>
      <c r="N58" s="1">
        <f>+Sommaire!BJ64</f>
        <v/>
      </c>
      <c r="O58" s="1">
        <f>+Sommaire!BO64</f>
        <v/>
      </c>
      <c r="P58" s="1">
        <f>+Sommaire!BP64</f>
        <v/>
      </c>
    </row>
    <row r="59">
      <c r="A59" s="25" t="n">
        <v>8645</v>
      </c>
      <c r="B59" s="31">
        <f>+Sommaire!A65</f>
        <v/>
      </c>
      <c r="C59" s="31">
        <f>RIGHT(CONCATENATE("000",B59),6)</f>
        <v/>
      </c>
      <c r="D59">
        <f>+Sommaire!B65</f>
        <v/>
      </c>
      <c r="E59" t="n">
        <v>2</v>
      </c>
      <c r="F59" s="32" t="n">
        <v>46075</v>
      </c>
      <c r="M59" s="1">
        <f>+Sommaire!BI65</f>
        <v/>
      </c>
      <c r="N59" s="1">
        <f>+Sommaire!BJ65</f>
        <v/>
      </c>
      <c r="O59" s="1">
        <f>+Sommaire!BO65</f>
        <v/>
      </c>
      <c r="P59" s="1">
        <f>+Sommaire!BP65</f>
        <v/>
      </c>
    </row>
    <row r="60">
      <c r="A60" s="25" t="n">
        <v>8646</v>
      </c>
      <c r="B60" s="31">
        <f>+Sommaire!A66</f>
        <v/>
      </c>
      <c r="C60" s="31">
        <f>RIGHT(CONCATENATE("000",B60),6)</f>
        <v/>
      </c>
      <c r="D60">
        <f>+Sommaire!B66</f>
        <v/>
      </c>
      <c r="E60" t="n">
        <v>3</v>
      </c>
      <c r="F60" s="32" t="n">
        <v>46075</v>
      </c>
      <c r="M60" s="1">
        <f>+Sommaire!BI66</f>
        <v/>
      </c>
      <c r="N60" s="1">
        <f>+Sommaire!BJ66</f>
        <v/>
      </c>
      <c r="O60" s="1">
        <f>+Sommaire!BO66</f>
        <v/>
      </c>
      <c r="P60" s="1">
        <f>+Sommaire!BP66</f>
        <v/>
      </c>
    </row>
    <row r="61">
      <c r="A61" s="13" t="n"/>
      <c r="B61" s="70" t="n"/>
      <c r="C61" s="70" t="n"/>
      <c r="D61" s="70" t="n"/>
      <c r="E61" s="70" t="n"/>
      <c r="F61" s="70" t="n"/>
      <c r="M61" s="71">
        <f>SUBTOTAL(9,M3:M60)</f>
        <v/>
      </c>
      <c r="N61" s="71">
        <f>SUBTOTAL(9,N3:N60)</f>
        <v/>
      </c>
      <c r="O61" s="71">
        <f>SUBTOTAL(9,O3:O60)</f>
        <v/>
      </c>
      <c r="P61" s="71">
        <f>SUBTOTAL(9,P3:P60)</f>
        <v/>
      </c>
    </row>
    <row r="62">
      <c r="A62" s="13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8">
        <f>+Sommaire!BI68</f>
        <v/>
      </c>
      <c r="N62" s="28">
        <f>+Sommaire!BJ68</f>
        <v/>
      </c>
      <c r="O62" s="28">
        <f>+Sommaire!BO68</f>
        <v/>
      </c>
      <c r="P62" s="28">
        <f>+Sommaire!BP68</f>
        <v/>
      </c>
    </row>
    <row r="63">
      <c r="F63" s="120" t="n">
        <v>46075</v>
      </c>
      <c r="M63" s="1">
        <f>+M61-M62</f>
        <v/>
      </c>
      <c r="N63" s="1">
        <f>+N61-N62</f>
        <v/>
      </c>
      <c r="O63" s="1">
        <f>+O61-O62</f>
        <v/>
      </c>
      <c r="P63" s="1">
        <f>+P61-P62</f>
        <v/>
      </c>
    </row>
  </sheetData>
  <autoFilter ref="A1:P62"/>
  <pageMargins left="0.787401575" right="0.787401575" top="0.984251969" bottom="0.984251969" header="0.4921259845" footer="0.4921259845"/>
  <pageSetup orientation="landscape" scale="83"/>
</worksheet>
</file>

<file path=xl/worksheets/sheet2.xml><?xml version="1.0" encoding="utf-8"?>
<worksheet xmlns="http://schemas.openxmlformats.org/spreadsheetml/2006/main">
  <sheetPr codeName="Feuil2">
    <outlinePr summaryBelow="1" summaryRight="1"/>
    <pageSetUpPr fitToPage="1"/>
  </sheetPr>
  <dimension ref="A1:BY95"/>
  <sheetViews>
    <sheetView tabSelected="1" zoomScale="70" zoomScaleNormal="70" workbookViewId="0">
      <pane xSplit="2" ySplit="6" topLeftCell="AW29" activePane="bottomRight" state="frozen"/>
      <selection pane="topRight" activeCell="C1" sqref="C1"/>
      <selection pane="bottomLeft" activeCell="A7" sqref="A7"/>
      <selection pane="bottomRight" activeCell="BG75" sqref="BG75"/>
    </sheetView>
  </sheetViews>
  <sheetFormatPr baseColWidth="8" defaultColWidth="10.28515625" defaultRowHeight="12.75"/>
  <cols>
    <col width="9.28515625" customWidth="1" style="13" min="1" max="1"/>
    <col width="27.140625" customWidth="1" min="2" max="2"/>
    <col width="14.28515625" customWidth="1" min="3" max="3"/>
    <col width="15.140625" bestFit="1" customWidth="1" min="4" max="4"/>
    <col width="16.140625" bestFit="1" customWidth="1" style="8" min="5" max="5"/>
    <col width="6.85546875" customWidth="1" style="11" min="6" max="6"/>
    <col width="6.85546875" customWidth="1" min="7" max="7"/>
    <col width="18.5703125" customWidth="1" min="8" max="8"/>
    <col width="14" customWidth="1" style="8" min="9" max="9"/>
    <col width="6.85546875" customWidth="1" style="11" min="10" max="10"/>
    <col width="6.85546875" customWidth="1" min="11" max="11"/>
    <col width="16.7109375" customWidth="1" min="12" max="12"/>
    <col width="11.5703125" customWidth="1" style="8" min="13" max="13"/>
    <col width="6.85546875" customWidth="1" style="11" min="14" max="14"/>
    <col width="9.28515625" customWidth="1" min="15" max="15"/>
    <col width="16" customWidth="1" min="16" max="16"/>
    <col width="12.28515625" customWidth="1" style="8" min="17" max="17"/>
    <col width="6.85546875" customWidth="1" style="11" min="18" max="18"/>
    <col width="6.85546875" customWidth="1" min="19" max="19"/>
    <col width="15.7109375" customWidth="1" min="20" max="20"/>
    <col width="9.7109375" customWidth="1" style="8" min="21" max="21"/>
    <col width="6.85546875" customWidth="1" style="11" min="22" max="22"/>
    <col width="6.85546875" customWidth="1" min="23" max="23"/>
    <col width="25" customWidth="1" min="24" max="24"/>
    <col width="11.140625" customWidth="1" style="8" min="25" max="25"/>
    <col width="6.85546875" customWidth="1" style="11" min="26" max="26"/>
    <col width="8.7109375" customWidth="1" min="27" max="27"/>
    <col width="17.7109375" customWidth="1" min="28" max="28"/>
    <col width="12.28515625" customWidth="1" style="8" min="29" max="29"/>
    <col width="7.42578125" customWidth="1" style="11" min="30" max="30"/>
    <col width="6.85546875" customWidth="1" min="31" max="31"/>
    <col width="14.5703125" customWidth="1" min="32" max="32"/>
    <col width="12.28515625" customWidth="1" style="8" min="33" max="33"/>
    <col width="24.140625" customWidth="1" style="11" min="34" max="34"/>
    <col width="6.85546875" customWidth="1" min="35" max="35"/>
    <col width="16.140625" customWidth="1" min="36" max="36"/>
    <col width="13.42578125" customWidth="1" style="8" min="37" max="37"/>
    <col width="6.85546875" customWidth="1" style="11" min="38" max="38"/>
    <col width="6.85546875" customWidth="1" min="39" max="39"/>
    <col width="15.5703125" customWidth="1" style="15" min="40" max="40"/>
    <col width="10.7109375" customWidth="1" style="8" min="41" max="41"/>
    <col width="6.85546875" customWidth="1" style="11" min="42" max="42"/>
    <col width="6.85546875" customWidth="1" min="43" max="43"/>
    <col width="14" customWidth="1" style="18" min="44" max="44"/>
    <col width="11.5703125" customWidth="1" style="8" min="45" max="45"/>
    <col width="12.7109375" customWidth="1" style="11" min="46" max="46"/>
    <col width="9.140625" bestFit="1" customWidth="1" min="47" max="47"/>
    <col width="16.140625" customWidth="1" min="48" max="48"/>
    <col width="13.42578125" customWidth="1" style="8" min="49" max="49"/>
    <col width="6.85546875" customWidth="1" style="11" min="50" max="50"/>
    <col width="6.85546875" customWidth="1" min="51" max="51"/>
    <col width="16.140625" customWidth="1" min="52" max="52"/>
    <col width="13.42578125" customWidth="1" style="8" min="53" max="53"/>
    <col width="6.85546875" customWidth="1" style="11" min="54" max="54"/>
    <col width="6.85546875" customWidth="1" min="55" max="55"/>
    <col width="16.28515625" customWidth="1" min="56" max="56"/>
    <col width="11.42578125" customWidth="1" style="8" min="57" max="57"/>
    <col width="9.85546875" bestFit="1" customWidth="1" style="11" min="58" max="58"/>
    <col width="29.28515625" customWidth="1" min="59" max="59"/>
    <col width="8.42578125" customWidth="1" min="60" max="60"/>
    <col width="14.5703125" bestFit="1" customWidth="1" min="61" max="61"/>
    <col width="16.85546875" customWidth="1" min="62" max="62"/>
    <col width="9.5703125" customWidth="1" min="63" max="63"/>
    <col width="11.140625" customWidth="1" min="64" max="64"/>
    <col width="13" bestFit="1" customWidth="1" min="65" max="65"/>
    <col width="14" customWidth="1" min="66" max="66"/>
    <col width="13" bestFit="1" customWidth="1" min="67" max="67"/>
    <col width="10.140625" bestFit="1" customWidth="1" min="68" max="68"/>
    <col width="10.7109375" bestFit="1" customWidth="1" min="69" max="69"/>
  </cols>
  <sheetData>
    <row r="1" ht="17.25" customHeight="1">
      <c r="A1" s="12" t="inlineStr">
        <is>
          <t>HÔTEL SHERATON LAVAL</t>
        </is>
      </c>
      <c r="B1" s="12" t="n"/>
      <c r="C1" s="2" t="n"/>
      <c r="D1" s="2" t="n"/>
      <c r="E1" s="6" t="n"/>
      <c r="F1" s="9" t="n"/>
      <c r="G1" s="2" t="n"/>
      <c r="H1" s="2" t="n"/>
      <c r="I1" s="6" t="n"/>
      <c r="J1" s="9" t="n"/>
      <c r="K1" s="2" t="n"/>
      <c r="L1" s="2" t="n"/>
      <c r="M1" s="6" t="n"/>
      <c r="N1" s="9" t="n"/>
      <c r="O1" s="2" t="n"/>
      <c r="P1" s="2" t="n"/>
      <c r="Q1" s="6" t="n"/>
      <c r="R1" s="9" t="n"/>
      <c r="S1" s="2" t="n"/>
      <c r="T1" s="2" t="n"/>
      <c r="U1" s="6" t="n"/>
      <c r="V1" s="9" t="n"/>
      <c r="W1" s="2" t="n"/>
      <c r="X1" s="2" t="n"/>
      <c r="Y1" s="6" t="n"/>
      <c r="Z1" s="9" t="n"/>
      <c r="AA1" s="2" t="n"/>
      <c r="AB1" s="2" t="n"/>
      <c r="AC1" s="6" t="n"/>
      <c r="AD1" s="9" t="n"/>
      <c r="AE1" s="2" t="n"/>
      <c r="AF1" s="2" t="n"/>
      <c r="AG1" s="6" t="n"/>
      <c r="AH1" s="9" t="n"/>
      <c r="AI1" s="2" t="n"/>
      <c r="AJ1" s="2" t="n"/>
      <c r="AK1" s="6" t="n"/>
      <c r="AL1" s="9" t="n"/>
      <c r="AM1" s="2" t="n"/>
      <c r="AN1" s="14" t="n"/>
      <c r="AO1" s="6" t="n"/>
      <c r="AP1" s="9" t="n"/>
      <c r="AQ1" s="2" t="n"/>
      <c r="AR1" s="16" t="n"/>
      <c r="AS1" s="6" t="n"/>
      <c r="AT1" s="9" t="n"/>
      <c r="AU1" s="2" t="n"/>
      <c r="AV1" s="2" t="n"/>
      <c r="AW1" s="6" t="n"/>
      <c r="AX1" s="9" t="n"/>
      <c r="AY1" s="2" t="n"/>
      <c r="AZ1" s="2" t="n"/>
      <c r="BA1" s="6" t="n"/>
      <c r="BB1" s="9" t="n"/>
      <c r="BC1" s="2" t="n"/>
      <c r="BD1" s="2" t="n"/>
      <c r="BE1" s="6" t="n"/>
      <c r="BF1" s="9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</row>
    <row r="2" ht="19.5" customHeight="1">
      <c r="A2" s="12" t="inlineStr">
        <is>
          <t>REGISTRE DES POURBOIRES</t>
        </is>
      </c>
      <c r="B2" s="12" t="n"/>
      <c r="C2" s="4" t="n"/>
      <c r="D2" s="4" t="n"/>
      <c r="E2" s="7" t="n"/>
      <c r="F2" s="10" t="n"/>
      <c r="G2" s="4" t="n"/>
      <c r="H2" s="4" t="n"/>
      <c r="I2" s="7" t="n"/>
      <c r="J2" s="10" t="n"/>
      <c r="K2" s="4" t="n"/>
      <c r="L2" s="4" t="n"/>
      <c r="M2" s="7" t="n"/>
      <c r="N2" s="10" t="n"/>
      <c r="O2" s="4" t="n"/>
      <c r="P2" s="4" t="n"/>
      <c r="Q2" s="7" t="n"/>
      <c r="R2" s="10" t="n"/>
      <c r="S2" s="4" t="n"/>
      <c r="T2" s="4" t="n"/>
      <c r="U2" s="7" t="n"/>
      <c r="V2" s="10" t="n"/>
      <c r="W2" s="4" t="n"/>
      <c r="X2" s="4" t="n"/>
      <c r="Y2" s="7" t="n"/>
      <c r="Z2" s="10" t="n"/>
      <c r="AA2" s="4" t="n"/>
      <c r="AB2" s="4" t="n"/>
      <c r="AC2" s="7" t="n"/>
      <c r="AD2" s="10" t="n"/>
      <c r="AE2" s="4" t="n"/>
      <c r="AF2" s="4" t="n"/>
      <c r="AG2" s="7" t="n"/>
      <c r="AH2" s="10" t="n"/>
      <c r="AI2" s="4" t="n"/>
      <c r="AJ2" s="4" t="n"/>
      <c r="AK2" s="7" t="n"/>
      <c r="AL2" s="10" t="n"/>
      <c r="AM2" s="4" t="n"/>
      <c r="AN2" s="4" t="n"/>
      <c r="AO2" s="7" t="n"/>
      <c r="AP2" s="10" t="n"/>
      <c r="AQ2" s="4" t="n"/>
      <c r="AR2" s="17" t="n"/>
      <c r="AS2" s="7" t="n"/>
      <c r="AT2" s="10" t="n"/>
      <c r="AU2" s="4" t="n"/>
      <c r="AV2" s="4" t="n"/>
      <c r="AW2" s="7" t="n"/>
      <c r="AX2" s="10" t="n"/>
      <c r="AY2" s="4" t="n"/>
      <c r="AZ2" s="4" t="n"/>
      <c r="BA2" s="7" t="n"/>
      <c r="BB2" s="10" t="n"/>
      <c r="BC2" s="4" t="n"/>
      <c r="BD2" s="4" t="n"/>
      <c r="BE2" s="7" t="n"/>
      <c r="BF2" s="10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</row>
    <row r="4">
      <c r="A4" s="13" t="inlineStr"/>
      <c r="C4" t="inlineStr">
        <is>
          <t>Période</t>
        </is>
      </c>
      <c r="BH4" t="n">
        <v>45990</v>
      </c>
      <c r="BI4" s="5" t="n"/>
      <c r="BJ4" s="3" t="n"/>
      <c r="BK4" s="5" t="n"/>
      <c r="BL4" s="3">
        <f>+BD5</f>
        <v/>
      </c>
    </row>
    <row r="5" ht="18" customHeight="1">
      <c r="A5" s="33" t="n"/>
      <c r="B5" s="34" t="n"/>
      <c r="C5" s="34" t="n"/>
      <c r="D5" s="117" t="n">
        <v>46075</v>
      </c>
      <c r="E5" s="75" t="n"/>
      <c r="F5" s="75" t="n"/>
      <c r="G5" s="118" t="n"/>
      <c r="H5" s="117">
        <f>+D5+1</f>
        <v/>
      </c>
      <c r="I5" s="75" t="n"/>
      <c r="J5" s="75" t="n"/>
      <c r="K5" s="118" t="n"/>
      <c r="L5" s="117">
        <f>1+H5</f>
        <v/>
      </c>
      <c r="M5" s="75" t="n"/>
      <c r="N5" s="75" t="n"/>
      <c r="O5" s="118" t="n"/>
      <c r="P5" s="117">
        <f>1+L5</f>
        <v/>
      </c>
      <c r="Q5" s="75" t="n"/>
      <c r="R5" s="75" t="n"/>
      <c r="S5" s="118" t="n"/>
      <c r="T5" s="117">
        <f>1+P5</f>
        <v/>
      </c>
      <c r="U5" s="75" t="n"/>
      <c r="V5" s="75" t="n"/>
      <c r="W5" s="118" t="n"/>
      <c r="X5" s="117">
        <f>1+T5</f>
        <v/>
      </c>
      <c r="Y5" s="75" t="n"/>
      <c r="Z5" s="75" t="n"/>
      <c r="AA5" s="118" t="n"/>
      <c r="AB5" s="117">
        <f>1+X5</f>
        <v/>
      </c>
      <c r="AC5" s="75" t="n"/>
      <c r="AD5" s="75" t="n"/>
      <c r="AE5" s="118" t="n"/>
      <c r="AF5" s="117">
        <f>AB5+1</f>
        <v/>
      </c>
      <c r="AG5" s="75" t="n"/>
      <c r="AH5" s="75" t="n"/>
      <c r="AI5" s="118" t="n"/>
      <c r="AJ5" s="117">
        <f>1+AF5</f>
        <v/>
      </c>
      <c r="AK5" s="75" t="n"/>
      <c r="AL5" s="75" t="n"/>
      <c r="AM5" s="118" t="n"/>
      <c r="AN5" s="117">
        <f>1+AJ5</f>
        <v/>
      </c>
      <c r="AO5" s="75" t="n"/>
      <c r="AP5" s="75" t="n"/>
      <c r="AQ5" s="118" t="n"/>
      <c r="AR5" s="117">
        <f>1+AN5</f>
        <v/>
      </c>
      <c r="AS5" s="75" t="n"/>
      <c r="AT5" s="75" t="n"/>
      <c r="AU5" s="118" t="n"/>
      <c r="AV5" s="117">
        <f>1+AR5</f>
        <v/>
      </c>
      <c r="AW5" s="75" t="n"/>
      <c r="AX5" s="75" t="n"/>
      <c r="AY5" s="118" t="n"/>
      <c r="AZ5" s="117">
        <f>1+AV5</f>
        <v/>
      </c>
      <c r="BA5" s="75" t="n"/>
      <c r="BB5" s="75" t="n"/>
      <c r="BC5" s="118" t="n"/>
      <c r="BD5" s="117">
        <f>1+AZ5</f>
        <v/>
      </c>
      <c r="BE5" s="75" t="n"/>
      <c r="BF5" s="75" t="n"/>
      <c r="BG5" s="118" t="n"/>
      <c r="BH5" s="35" t="inlineStr">
        <is>
          <t>Ventes</t>
        </is>
      </c>
      <c r="BI5" s="34" t="inlineStr">
        <is>
          <t>Pourb</t>
        </is>
      </c>
      <c r="BJ5" s="34" t="inlineStr">
        <is>
          <t>Dist</t>
        </is>
      </c>
      <c r="BK5" s="34" t="inlineStr">
        <is>
          <t>Reçus</t>
        </is>
      </c>
      <c r="BL5" s="34" t="n"/>
      <c r="BM5" s="34" t="n"/>
      <c r="BN5" s="34" t="n"/>
      <c r="BO5" s="34" t="n"/>
      <c r="BP5" s="34" t="n"/>
      <c r="BQ5" s="34" t="n"/>
      <c r="BR5" s="34" t="n"/>
      <c r="BS5" s="34" t="n"/>
      <c r="BT5" s="34" t="n"/>
      <c r="BU5" s="34" t="n"/>
      <c r="BV5" s="34" t="n"/>
      <c r="BW5" s="34" t="n"/>
      <c r="BX5" s="34" t="n"/>
      <c r="BY5" s="34" t="n"/>
    </row>
    <row r="6" ht="72" customHeight="1">
      <c r="A6" s="36" t="inlineStr">
        <is>
          <t>#emp</t>
        </is>
      </c>
      <c r="B6" s="37" t="inlineStr">
        <is>
          <t>nom</t>
        </is>
      </c>
      <c r="C6" s="37" t="inlineStr">
        <is>
          <t># clé</t>
        </is>
      </c>
      <c r="D6" s="37" t="inlineStr">
        <is>
          <t>Ventes</t>
        </is>
      </c>
      <c r="E6" s="38" t="inlineStr">
        <is>
          <t>Pourb</t>
        </is>
      </c>
      <c r="F6" s="39" t="inlineStr">
        <is>
          <t>Dist</t>
        </is>
      </c>
      <c r="G6" s="37" t="inlineStr">
        <is>
          <t>Reçus</t>
        </is>
      </c>
      <c r="H6" s="40" t="inlineStr">
        <is>
          <t>Ventes</t>
        </is>
      </c>
      <c r="I6" s="38" t="inlineStr">
        <is>
          <t>Pourb</t>
        </is>
      </c>
      <c r="J6" s="39" t="inlineStr">
        <is>
          <t>Dist</t>
        </is>
      </c>
      <c r="K6" s="37" t="inlineStr">
        <is>
          <t>Reçus</t>
        </is>
      </c>
      <c r="L6" s="40" t="inlineStr">
        <is>
          <t>Ventes</t>
        </is>
      </c>
      <c r="M6" s="38" t="inlineStr">
        <is>
          <t>Pourb</t>
        </is>
      </c>
      <c r="N6" s="39" t="inlineStr">
        <is>
          <t>Dist</t>
        </is>
      </c>
      <c r="O6" s="37" t="inlineStr">
        <is>
          <t>Reçus</t>
        </is>
      </c>
      <c r="P6" s="40" t="inlineStr">
        <is>
          <t>Ventes</t>
        </is>
      </c>
      <c r="Q6" s="38" t="inlineStr">
        <is>
          <t>Pourb</t>
        </is>
      </c>
      <c r="R6" s="39" t="inlineStr">
        <is>
          <t>Dist</t>
        </is>
      </c>
      <c r="S6" s="37" t="inlineStr">
        <is>
          <t>Reçus</t>
        </is>
      </c>
      <c r="T6" s="40" t="inlineStr">
        <is>
          <t>Ventes</t>
        </is>
      </c>
      <c r="U6" s="38" t="inlineStr">
        <is>
          <t>Pourb</t>
        </is>
      </c>
      <c r="V6" s="39" t="inlineStr">
        <is>
          <t>Dist</t>
        </is>
      </c>
      <c r="W6" s="37" t="inlineStr">
        <is>
          <t>Reçus</t>
        </is>
      </c>
      <c r="X6" s="40" t="inlineStr">
        <is>
          <t>Ventes</t>
        </is>
      </c>
      <c r="Y6" s="38" t="inlineStr">
        <is>
          <t>Pourb</t>
        </is>
      </c>
      <c r="Z6" s="39" t="inlineStr">
        <is>
          <t>Dist</t>
        </is>
      </c>
      <c r="AA6" s="37" t="inlineStr">
        <is>
          <t>Reçus</t>
        </is>
      </c>
      <c r="AB6" s="40" t="inlineStr">
        <is>
          <t>Ventes</t>
        </is>
      </c>
      <c r="AC6" s="38" t="inlineStr">
        <is>
          <t>Pourb</t>
        </is>
      </c>
      <c r="AD6" s="39" t="inlineStr">
        <is>
          <t>Dist</t>
        </is>
      </c>
      <c r="AE6" s="37" t="inlineStr">
        <is>
          <t>Reçus</t>
        </is>
      </c>
      <c r="AF6" s="40" t="inlineStr">
        <is>
          <t>Ventes</t>
        </is>
      </c>
      <c r="AG6" s="38" t="inlineStr">
        <is>
          <t>Pourb</t>
        </is>
      </c>
      <c r="AH6" s="39" t="inlineStr">
        <is>
          <t>Dist</t>
        </is>
      </c>
      <c r="AI6" s="37" t="inlineStr">
        <is>
          <t>Reçus</t>
        </is>
      </c>
      <c r="AJ6" s="40" t="inlineStr">
        <is>
          <t>Ventes</t>
        </is>
      </c>
      <c r="AK6" s="38" t="inlineStr">
        <is>
          <t>Pourb</t>
        </is>
      </c>
      <c r="AL6" s="39" t="inlineStr">
        <is>
          <t>Dist</t>
        </is>
      </c>
      <c r="AM6" s="37" t="inlineStr">
        <is>
          <t>Reçus</t>
        </is>
      </c>
      <c r="AN6" s="40" t="inlineStr">
        <is>
          <t>Ventes</t>
        </is>
      </c>
      <c r="AO6" s="38" t="inlineStr">
        <is>
          <t>Pourb</t>
        </is>
      </c>
      <c r="AP6" s="39" t="inlineStr">
        <is>
          <t>Dist</t>
        </is>
      </c>
      <c r="AQ6" s="37" t="inlineStr">
        <is>
          <t>Reçus</t>
        </is>
      </c>
      <c r="AR6" s="40" t="inlineStr">
        <is>
          <t>Ventes</t>
        </is>
      </c>
      <c r="AS6" s="38" t="inlineStr">
        <is>
          <t>Pourb</t>
        </is>
      </c>
      <c r="AT6" s="39" t="inlineStr">
        <is>
          <t>Dist</t>
        </is>
      </c>
      <c r="AU6" s="37" t="inlineStr">
        <is>
          <t>Reçus</t>
        </is>
      </c>
      <c r="AV6" s="40" t="inlineStr">
        <is>
          <t>Ventes</t>
        </is>
      </c>
      <c r="AW6" s="38" t="inlineStr">
        <is>
          <t>Pourb</t>
        </is>
      </c>
      <c r="AX6" s="39" t="inlineStr">
        <is>
          <t>Dist</t>
        </is>
      </c>
      <c r="AY6" s="102" t="inlineStr">
        <is>
          <t>Reçus</t>
        </is>
      </c>
      <c r="AZ6" s="40" t="inlineStr">
        <is>
          <t>Ventes</t>
        </is>
      </c>
      <c r="BA6" s="38" t="inlineStr">
        <is>
          <t>Pourb</t>
        </is>
      </c>
      <c r="BB6" s="39" t="inlineStr">
        <is>
          <t>Dist</t>
        </is>
      </c>
      <c r="BC6" s="102" t="inlineStr">
        <is>
          <t>Reçus</t>
        </is>
      </c>
      <c r="BD6" s="40" t="inlineStr">
        <is>
          <t>Ventes</t>
        </is>
      </c>
      <c r="BE6" s="38" t="inlineStr">
        <is>
          <t>Pourb</t>
        </is>
      </c>
      <c r="BF6" s="39" t="inlineStr">
        <is>
          <t>Dist</t>
        </is>
      </c>
      <c r="BG6" s="37" t="inlineStr">
        <is>
          <t>Reçus</t>
        </is>
      </c>
      <c r="BH6" s="37" t="n"/>
      <c r="BI6" s="37" t="inlineStr">
        <is>
          <t>Ventes</t>
        </is>
      </c>
      <c r="BJ6" s="41" t="inlineStr">
        <is>
          <t>Pourboires bruts</t>
        </is>
      </c>
      <c r="BK6" s="41" t="inlineStr">
        <is>
          <t>Pourboires redistribués</t>
        </is>
      </c>
      <c r="BL6" s="42" t="inlineStr">
        <is>
          <t>Pourboires reçus</t>
        </is>
      </c>
      <c r="BM6" s="41" t="inlineStr">
        <is>
          <t>Net 1ere semaine</t>
        </is>
      </c>
      <c r="BN6" s="41" t="inlineStr">
        <is>
          <t>Net 2ieme semaine</t>
        </is>
      </c>
      <c r="BO6" s="41" t="inlineStr">
        <is>
          <t>Pourboires nets</t>
        </is>
      </c>
      <c r="BP6" s="41" t="inlineStr">
        <is>
          <t>Montant Attribué</t>
        </is>
      </c>
      <c r="BQ6" s="43" t="n"/>
      <c r="BR6" s="43" t="n"/>
      <c r="BS6" s="43" t="n"/>
      <c r="BT6" s="43" t="n"/>
      <c r="BU6" s="43" t="n"/>
      <c r="BV6" s="43" t="n"/>
      <c r="BW6" s="43" t="n"/>
      <c r="BX6" s="43" t="n"/>
      <c r="BY6" s="43" t="n"/>
    </row>
    <row r="7" ht="18" customFormat="1" customHeight="1" s="75">
      <c r="A7" s="80" t="inlineStr">
        <is>
          <t xml:space="preserve"> </t>
        </is>
      </c>
      <c r="B7" s="81" t="n"/>
      <c r="C7" s="64" t="n"/>
      <c r="D7" s="82" t="n"/>
      <c r="E7" s="65" t="n"/>
      <c r="F7" s="66" t="n"/>
      <c r="G7" s="83" t="n"/>
      <c r="H7" s="82" t="n"/>
      <c r="I7" s="65" t="n"/>
      <c r="J7" s="66" t="n"/>
      <c r="K7" s="84" t="n"/>
      <c r="L7" s="64" t="n"/>
      <c r="M7" s="65" t="n"/>
      <c r="N7" s="66" t="n"/>
      <c r="O7" s="64" t="n"/>
      <c r="P7" s="47" t="n"/>
      <c r="Q7" s="65" t="n"/>
      <c r="R7" s="66" t="n"/>
      <c r="S7" s="64" t="n"/>
      <c r="T7" s="88" t="n"/>
      <c r="U7" s="65" t="n"/>
      <c r="V7" s="66" t="n"/>
      <c r="W7" s="64" t="n"/>
      <c r="X7" s="82" t="n"/>
      <c r="Y7" s="65" t="n"/>
      <c r="Z7" s="66" t="n"/>
      <c r="AA7" s="64" t="n"/>
      <c r="AB7" s="88" t="n"/>
      <c r="AC7" s="65" t="n"/>
      <c r="AD7" s="66" t="n"/>
      <c r="AE7" s="64" t="n"/>
      <c r="AF7" s="82" t="n"/>
      <c r="AG7" s="65" t="n"/>
      <c r="AH7" s="66" t="n"/>
      <c r="AI7" s="64" t="n"/>
      <c r="AJ7" s="82" t="n"/>
      <c r="AK7" s="65" t="n"/>
      <c r="AL7" s="66" t="n"/>
      <c r="AM7" s="64" t="n"/>
      <c r="AN7" s="100" t="n"/>
      <c r="AO7" s="65" t="n"/>
      <c r="AP7" s="66" t="n"/>
      <c r="AQ7" s="64" t="n"/>
      <c r="AR7" s="82" t="n"/>
      <c r="AS7" s="65" t="n"/>
      <c r="AT7" s="66" t="n"/>
      <c r="AU7" s="64" t="n"/>
      <c r="AV7" s="82" t="n"/>
      <c r="AW7" s="65" t="n"/>
      <c r="AX7" s="66" t="n"/>
      <c r="AY7" s="84" t="n"/>
      <c r="AZ7" s="82" t="n"/>
      <c r="BA7" s="65" t="n"/>
      <c r="BB7" s="66" t="n"/>
      <c r="BC7" s="84" t="n"/>
      <c r="BD7" s="82" t="n"/>
      <c r="BE7" s="65" t="n"/>
      <c r="BF7" s="66" t="n"/>
      <c r="BG7" s="83" t="n"/>
      <c r="BH7" s="64" t="n"/>
      <c r="BI7" s="51">
        <f>+D7+H7+L7+P7+T7+X7+AB7+AF7+AJ7+AN7+AR7+AV7+AZ7+BD7</f>
        <v/>
      </c>
      <c r="BJ7" s="51">
        <f>+E7+I7+M7+Q7+U7+Y7+AC7+AG7+AK7+AO7+AS7+AW7+BA7+BE7</f>
        <v/>
      </c>
      <c r="BK7" s="51">
        <f>+F7+J7+N7+R7+V8+Z7+AD7+AH7+AL7+AP7+AT7+AX7+BB7+BF7</f>
        <v/>
      </c>
      <c r="BL7" s="51">
        <f>+G7+K7+O7+S7+W7+AA7+AE7+AI7+AM7+AQ7+AU7+AY7+BC7+BG7</f>
        <v/>
      </c>
      <c r="BM7" s="51">
        <f>+E7-F7+G7+I7-J7+K7+M7-N7+O7+Q7-R7+S7+U7-V8+W7+Y7-Z7+AA7+AC7-AD7+AE7</f>
        <v/>
      </c>
      <c r="BN7" s="51">
        <f>+AG7-AH7+AI7+AK7-AL7+AM7+AO7-AP7+AQ7+AS7-AT7+AU7+AW7-AX7+AY7+BA7-BB7+BC7+BE7-BF7+BG7</f>
        <v/>
      </c>
      <c r="BO7" s="51">
        <f>BJ7-BK7+BL7</f>
        <v/>
      </c>
      <c r="BP7" s="51">
        <f>IF((+BI7*0.08)&lt;BJ7,0,(+BI7*0.08)-BJ7)</f>
        <v/>
      </c>
      <c r="BQ7" s="85">
        <f>IF(BI7&lt;&gt;0,+BJ7/BI7,0)</f>
        <v/>
      </c>
      <c r="BR7" s="64" t="n"/>
      <c r="BS7" s="64" t="n"/>
      <c r="BT7" s="64" t="n"/>
      <c r="BU7" s="64" t="n"/>
      <c r="BV7" s="64" t="n"/>
      <c r="BW7" s="64" t="n"/>
      <c r="BX7" s="64" t="n"/>
      <c r="BY7" s="64" t="n"/>
    </row>
    <row r="8" ht="18" customFormat="1" customHeight="1" s="75">
      <c r="A8" s="80" t="n"/>
      <c r="B8" s="81" t="n"/>
      <c r="C8" s="64" t="n"/>
      <c r="D8" s="82" t="n"/>
      <c r="E8" s="65" t="n"/>
      <c r="F8" s="66" t="n"/>
      <c r="G8" s="84" t="n"/>
      <c r="H8" s="82" t="n"/>
      <c r="I8" s="65" t="n"/>
      <c r="J8" s="66" t="n"/>
      <c r="K8" s="64" t="n"/>
      <c r="L8" s="47" t="n"/>
      <c r="M8" s="65" t="n"/>
      <c r="N8" s="66" t="n"/>
      <c r="O8" s="64" t="n"/>
      <c r="P8" s="47" t="n"/>
      <c r="Q8" s="48" t="n"/>
      <c r="R8" s="66" t="n"/>
      <c r="S8" s="64" t="n"/>
      <c r="T8" s="82" t="n"/>
      <c r="U8" s="65" t="n"/>
      <c r="V8" s="66" t="n"/>
      <c r="W8" s="64" t="n"/>
      <c r="X8" s="82" t="n"/>
      <c r="Y8" s="65" t="n"/>
      <c r="Z8" s="66" t="n"/>
      <c r="AA8" s="64" t="n"/>
      <c r="AB8" s="82" t="n"/>
      <c r="AC8" s="65" t="n"/>
      <c r="AD8" s="66" t="n"/>
      <c r="AE8" s="64" t="n"/>
      <c r="AF8" s="82" t="n"/>
      <c r="AG8" s="65" t="n"/>
      <c r="AH8" s="66" t="n"/>
      <c r="AI8" s="64" t="n"/>
      <c r="AJ8" s="82" t="n"/>
      <c r="AK8" s="65" t="n"/>
      <c r="AL8" s="66" t="n"/>
      <c r="AM8" s="64" t="n"/>
      <c r="AN8" s="100" t="n"/>
      <c r="AO8" s="65" t="n"/>
      <c r="AP8" s="66" t="n"/>
      <c r="AQ8" s="64" t="n"/>
      <c r="AR8" s="82" t="n"/>
      <c r="AS8" s="65" t="n"/>
      <c r="AT8" s="66" t="n"/>
      <c r="AU8" s="64" t="n"/>
      <c r="AV8" s="82" t="n"/>
      <c r="AW8" s="65" t="n"/>
      <c r="AX8" s="66" t="n"/>
      <c r="AY8" s="84" t="n"/>
      <c r="AZ8" s="82" t="n"/>
      <c r="BA8" s="65" t="n"/>
      <c r="BB8" s="66" t="n"/>
      <c r="BC8" s="84" t="n"/>
      <c r="BD8" s="82" t="n"/>
      <c r="BE8" s="65" t="n"/>
      <c r="BF8" s="66" t="n"/>
      <c r="BG8" s="84" t="n"/>
      <c r="BH8" s="64" t="n"/>
      <c r="BI8" s="51">
        <f>+D8+H8+L8+P8+T8+X8+AB8+AF8+AJ8+AN8+AR8+AV8+AZ8+BD8</f>
        <v/>
      </c>
      <c r="BJ8" s="51">
        <f>+E8+I8+M8+Q8+U8+Y8+AC8+AG8+AK8+AO8+AS8+AW8+BA8+BE8</f>
        <v/>
      </c>
      <c r="BK8" s="51">
        <f>+F8+J8+N8+R8+V9+Z8+AD8+AH8+AL8+AP8+AT8+AX8+BB8+BF8</f>
        <v/>
      </c>
      <c r="BL8" s="51">
        <f>+G8+K8+O8+S8+W8+AA8+AE8+AI8+AM8+AQ8+AU8+AY8+BC8+BG8</f>
        <v/>
      </c>
      <c r="BM8" s="51">
        <f>+E8-F8+G8+I8-J8+K8+M8-N8+O8+Q8-R8+S8+U8-V9+W8+Y8-Z8+AA8+AC8-AD8+AE8</f>
        <v/>
      </c>
      <c r="BN8" s="51">
        <f>+AG8-AH8+AI8+AK8-AL8+AM8+AO8-AP8+AQ8+AS8-AT8+AU8+AW8-AX8+AY8+BA8-BB8+BC8+BE8-BF8+BG8</f>
        <v/>
      </c>
      <c r="BO8" s="51">
        <f>BJ8-BK8+BL8</f>
        <v/>
      </c>
      <c r="BP8" s="51">
        <f>IF((+BI8*0.08)&lt;BJ8,0,(+BI8*0.08)-BJ8)</f>
        <v/>
      </c>
      <c r="BQ8" s="85">
        <f>IF(BI8&lt;&gt;0,+BJ8/BI8,0)</f>
        <v/>
      </c>
      <c r="BR8" s="64" t="n"/>
      <c r="BS8" s="64" t="n"/>
      <c r="BT8" s="64" t="n"/>
      <c r="BU8" s="64" t="n"/>
      <c r="BV8" s="64" t="n"/>
      <c r="BW8" s="64" t="n"/>
      <c r="BX8" s="64" t="n"/>
      <c r="BY8" s="64" t="n"/>
    </row>
    <row r="9" ht="18" customFormat="1" customHeight="1" s="75">
      <c r="A9" s="52" t="n">
        <v>5889</v>
      </c>
      <c r="B9" s="53" t="inlineStr">
        <is>
          <t>Abou Assaly Linda</t>
        </is>
      </c>
      <c r="C9" s="53" t="n"/>
      <c r="D9" s="47" t="n"/>
      <c r="E9" s="48" t="n"/>
      <c r="F9" s="49" t="n"/>
      <c r="G9" s="50" t="n"/>
      <c r="H9" s="51" t="n"/>
      <c r="I9" s="48" t="n"/>
      <c r="J9" s="49" t="n"/>
      <c r="K9" s="50" t="n"/>
      <c r="L9" s="51" t="n"/>
      <c r="M9" s="48" t="n"/>
      <c r="N9" s="49" t="n"/>
      <c r="O9" s="50" t="n"/>
      <c r="P9" s="51" t="n"/>
      <c r="Q9" s="48" t="n"/>
      <c r="R9" s="49" t="n"/>
      <c r="S9" s="51" t="n"/>
      <c r="T9" s="47" t="n"/>
      <c r="U9" s="48" t="n"/>
      <c r="V9" s="49" t="n"/>
      <c r="W9" s="50" t="n"/>
      <c r="X9" s="51" t="n"/>
      <c r="Y9" s="48" t="n"/>
      <c r="Z9" s="49" t="n"/>
      <c r="AA9" s="50" t="n"/>
      <c r="AB9" s="47" t="n"/>
      <c r="AC9" s="48" t="n"/>
      <c r="AD9" s="49" t="n"/>
      <c r="AE9" s="50" t="n"/>
      <c r="AF9" s="82" t="n"/>
      <c r="AG9" s="48" t="n"/>
      <c r="AH9" s="49" t="n"/>
      <c r="AI9" s="50" t="n"/>
      <c r="AJ9" s="82" t="n"/>
      <c r="AK9" s="48" t="n"/>
      <c r="AL9" s="49" t="n"/>
      <c r="AM9" s="50" t="n"/>
      <c r="AN9" s="97" t="n"/>
      <c r="AO9" s="48" t="n"/>
      <c r="AP9" s="49" t="n"/>
      <c r="AQ9" s="50" t="n"/>
      <c r="AR9" s="51" t="n"/>
      <c r="AS9" s="48" t="n"/>
      <c r="AT9" s="49" t="n"/>
      <c r="AU9" s="50" t="n"/>
      <c r="AV9" s="51" t="n"/>
      <c r="AW9" s="48" t="n"/>
      <c r="AX9" s="49" t="n"/>
      <c r="AY9" s="50" t="n"/>
      <c r="AZ9" s="51" t="n"/>
      <c r="BA9" s="48" t="n"/>
      <c r="BB9" s="49" t="n"/>
      <c r="BC9" s="50" t="n"/>
      <c r="BD9" s="51" t="n"/>
      <c r="BE9" s="48" t="n"/>
      <c r="BF9" s="49" t="n"/>
      <c r="BG9" s="50" t="n"/>
      <c r="BH9" s="64" t="n"/>
      <c r="BI9" s="51">
        <f>+D9+H9+L9+P9+T9+X9+AB9+AF9+AJ9+AN9+AR9+AV9+AZ9+BD9</f>
        <v/>
      </c>
      <c r="BJ9" s="51">
        <f>+E9+I9+M9+Q9+U9+Y9+AC9+AG9+AK9+AO9+AS9+AW9+BA9+BE9</f>
        <v/>
      </c>
      <c r="BK9" s="51">
        <f>+F9+J9+N9+R9+V10+Z9+AD9+AH9+AL9+AP9+AT9+AX9+BB9+BF9</f>
        <v/>
      </c>
      <c r="BL9" s="51">
        <f>+G9+K9+O9+S9+W9+AA9+AE9+AI9+AM9+AQ9+AU9+AY9+BC9+BG9</f>
        <v/>
      </c>
      <c r="BM9" s="51">
        <f>+E9-F9+G9+I9-J9+K9+M9-N9+O9+Q9-R9+S9+U9-V10+W9+Y9-Z9+AA9+AC9-AD9+AE9</f>
        <v/>
      </c>
      <c r="BN9" s="51">
        <f>+AG9-AH9+AI9+AK9-AL9+AM9+AO9-AP9+AQ9+AS9-AT9+AU9+AW9-AX9+AY9+BA9-BB9+BC9+BE9-BF9+BG9</f>
        <v/>
      </c>
      <c r="BO9" s="51">
        <f>BJ9-BK9+BL9</f>
        <v/>
      </c>
      <c r="BP9" s="51">
        <f>IF((+BI9*0.08)&lt;BJ9,0,(+BI9*0.08)-BJ9)</f>
        <v/>
      </c>
      <c r="BQ9" s="85">
        <f>IF(BI9&lt;&gt;0,+BJ9/BI9,0)</f>
        <v/>
      </c>
      <c r="BR9" s="64" t="n"/>
      <c r="BS9" s="64" t="n"/>
      <c r="BT9" s="64" t="n"/>
      <c r="BU9" s="64" t="n"/>
      <c r="BV9" s="64" t="n"/>
      <c r="BW9" s="64" t="n"/>
      <c r="BX9" s="64" t="n"/>
      <c r="BY9" s="64" t="n"/>
    </row>
    <row r="10" ht="18" customFormat="1" customHeight="1" s="75">
      <c r="A10" s="52" t="n">
        <v>5674</v>
      </c>
      <c r="B10" s="53" t="inlineStr">
        <is>
          <t xml:space="preserve">BALZAGE, Julien </t>
        </is>
      </c>
      <c r="C10" s="53" t="n"/>
      <c r="D10" s="47" t="n"/>
      <c r="E10" s="112" t="n"/>
      <c r="F10" s="49" t="n"/>
      <c r="G10" s="50" t="n"/>
      <c r="H10" s="51" t="n"/>
      <c r="I10" s="48" t="n"/>
      <c r="J10" s="49" t="n"/>
      <c r="K10" s="50" t="n"/>
      <c r="L10" s="51" t="n"/>
      <c r="M10" s="48" t="n"/>
      <c r="N10" s="49" t="n"/>
      <c r="O10" s="50" t="n"/>
      <c r="P10" s="47" t="n"/>
      <c r="Q10" s="48" t="n"/>
      <c r="R10" s="49" t="n"/>
      <c r="S10" s="51" t="n"/>
      <c r="T10" s="47" t="n"/>
      <c r="U10" s="48" t="n"/>
      <c r="V10" s="49" t="n"/>
      <c r="W10" s="50" t="n"/>
      <c r="X10" s="109" t="n"/>
      <c r="Y10" s="48" t="n"/>
      <c r="Z10" s="49" t="n"/>
      <c r="AA10" s="50" t="n"/>
      <c r="AB10" s="47" t="n"/>
      <c r="AC10" s="48" t="n"/>
      <c r="AD10" s="49" t="n"/>
      <c r="AE10" s="50" t="n"/>
      <c r="AF10" s="82" t="n"/>
      <c r="AG10" s="48" t="n"/>
      <c r="AH10" s="49" t="n"/>
      <c r="AI10" s="50" t="n"/>
      <c r="AJ10" s="82" t="n"/>
      <c r="AK10" s="48" t="n"/>
      <c r="AL10" s="49" t="n"/>
      <c r="AM10" s="50" t="n"/>
      <c r="AN10" s="97" t="n"/>
      <c r="AO10" s="48" t="n"/>
      <c r="AP10" s="49" t="n"/>
      <c r="AQ10" s="50" t="n"/>
      <c r="AR10" s="47" t="n"/>
      <c r="AS10" s="48" t="n"/>
      <c r="AT10" s="49" t="n"/>
      <c r="AU10" s="50" t="n"/>
      <c r="AV10" s="51" t="n"/>
      <c r="AW10" s="48" t="n"/>
      <c r="AX10" s="49" t="n"/>
      <c r="AY10" s="50" t="n"/>
      <c r="AZ10" s="51" t="n"/>
      <c r="BA10" s="48" t="n"/>
      <c r="BB10" s="49" t="n"/>
      <c r="BC10" s="50" t="n"/>
      <c r="BD10" s="51" t="n"/>
      <c r="BE10" s="48" t="n"/>
      <c r="BF10" s="49" t="n"/>
      <c r="BG10" s="50" t="n"/>
      <c r="BH10" s="64" t="n"/>
      <c r="BI10" s="51">
        <f>+D10+H10+L10+P10+T10+X10+AB10+AF10+AJ10+AN10+AR10+AV10+AZ10+BD10</f>
        <v/>
      </c>
      <c r="BJ10" s="51">
        <f>+E10+I10+M10+Q10+U10+Y10+AC10+AG10+AK10+AO10+AS10+AW10+BA10+BE10</f>
        <v/>
      </c>
      <c r="BK10" s="51">
        <f>+F10+J10+N10+R10+V11+Z10+AD10+AH10+AL10+AP10+AT10+AX10+BB10+BF10</f>
        <v/>
      </c>
      <c r="BL10" s="51">
        <f>+G10+K10+O10+S10+W10+AA10+AE10+AI10+AM10+AQ10+AU10+AY10+BC10+BG10</f>
        <v/>
      </c>
      <c r="BM10" s="51">
        <f>+E10-F10+G10+I10-J10+K10+M10-N10+O10+Q10-R10+S10+U10-V11+W10+Y10-Z10+AA10+AC10-AD10+AE10</f>
        <v/>
      </c>
      <c r="BN10" s="51">
        <f>+AG10-AH10+AI10+AK10-AL10+AM10+AO10-AP10+AQ10+AS10-AT10+AU10+AW10-AX10+AY10+BA10-BB10+BC10+BE10-BF10+BG10</f>
        <v/>
      </c>
      <c r="BO10" s="51">
        <f>BJ10-BK10+BL10</f>
        <v/>
      </c>
      <c r="BP10" s="51">
        <f>IF((+BI10*0.08)&lt;BJ10,0,(+BI10*0.08)-BJ10)</f>
        <v/>
      </c>
      <c r="BQ10" s="85">
        <f>IF(BI10&lt;&gt;0,+BJ10/BI10,0)</f>
        <v/>
      </c>
      <c r="BR10" s="64" t="n"/>
      <c r="BS10" s="64" t="n"/>
      <c r="BT10" s="64" t="n"/>
      <c r="BU10" s="64" t="n"/>
      <c r="BV10" s="64" t="n"/>
      <c r="BW10" s="64" t="n"/>
      <c r="BX10" s="64" t="n"/>
      <c r="BY10" s="64" t="n"/>
    </row>
    <row r="11" ht="18" customFormat="1" customHeight="1" s="75">
      <c r="A11" s="52" t="n">
        <v>92704</v>
      </c>
      <c r="B11" s="53" t="inlineStr">
        <is>
          <t>Belanger  Danielle</t>
        </is>
      </c>
      <c r="C11" s="54" t="n"/>
      <c r="D11" s="47" t="n"/>
      <c r="E11" s="48" t="n"/>
      <c r="F11" s="49" t="n"/>
      <c r="G11" s="50" t="n"/>
      <c r="H11" s="47" t="n"/>
      <c r="I11" s="48" t="n"/>
      <c r="J11" s="49" t="n"/>
      <c r="K11" s="51" t="n"/>
      <c r="L11" s="47" t="n"/>
      <c r="M11" s="48" t="n"/>
      <c r="N11" s="49" t="n"/>
      <c r="O11" s="51" t="n"/>
      <c r="P11" s="47" t="n"/>
      <c r="Q11" s="48" t="n"/>
      <c r="R11" s="49" t="n"/>
      <c r="S11" s="51" t="n"/>
      <c r="T11" s="47" t="n"/>
      <c r="U11" s="48" t="n"/>
      <c r="V11" s="49" t="n"/>
      <c r="W11" s="51" t="n"/>
      <c r="X11" s="82" t="n"/>
      <c r="Y11" s="48" t="n"/>
      <c r="Z11" s="49" t="n"/>
      <c r="AA11" s="51" t="n"/>
      <c r="AB11" s="47" t="n"/>
      <c r="AC11" s="48" t="n"/>
      <c r="AD11" s="49" t="n"/>
      <c r="AE11" s="51" t="n"/>
      <c r="AF11" s="82" t="n"/>
      <c r="AG11" s="48" t="n"/>
      <c r="AH11" s="49" t="n"/>
      <c r="AI11" s="51" t="n"/>
      <c r="AJ11" s="82" t="n"/>
      <c r="AK11" s="48" t="n"/>
      <c r="AL11" s="49" t="n"/>
      <c r="AM11" s="51" t="n"/>
      <c r="AN11" s="101" t="n"/>
      <c r="AO11" s="48" t="n"/>
      <c r="AP11" s="49" t="n"/>
      <c r="AQ11" s="51" t="n"/>
      <c r="AR11" s="47" t="n"/>
      <c r="AS11" s="48" t="n"/>
      <c r="AT11" s="49" t="n"/>
      <c r="AU11" s="51" t="n"/>
      <c r="AV11" s="47" t="n"/>
      <c r="AW11" s="48" t="n"/>
      <c r="AX11" s="49" t="n"/>
      <c r="AY11" s="50" t="n"/>
      <c r="AZ11" s="47" t="n"/>
      <c r="BA11" s="48" t="n"/>
      <c r="BB11" s="49" t="n"/>
      <c r="BC11" s="50" t="n"/>
      <c r="BD11" s="47" t="n"/>
      <c r="BE11" s="48" t="n"/>
      <c r="BF11" s="49" t="n"/>
      <c r="BG11" s="50" t="n"/>
      <c r="BH11" s="64" t="n"/>
      <c r="BI11" s="51">
        <f>+D11+H11+L11+P11+T11+X11+AB11+AF11+AJ11+AN11+AR11+AV11+AZ11+BD11</f>
        <v/>
      </c>
      <c r="BJ11" s="51">
        <f>+E11+I11+M11+Q11+U11+Y11+AC11+AG11+AK11+AO11+AS11+AW11+BA11+BE11</f>
        <v/>
      </c>
      <c r="BK11" s="51">
        <f>+F11+J11+N11+R11+V12+Z11+AD11+AH11+AL11+AP11+AT11+AX11+BB11+BF11</f>
        <v/>
      </c>
      <c r="BL11" s="51">
        <f>+G11+K11+O11+S11+W11+AA11+AE11+AI11+AM11+AQ11+AU11+AY11+BC11+BG11</f>
        <v/>
      </c>
      <c r="BM11" s="51">
        <f>+E11-F11+G11+I11-J11+K11+M11-N11+O11+Q11-R11+S11+U11-V12+W11+Y11-Z11+AA11+AC11-AD11+AE11</f>
        <v/>
      </c>
      <c r="BN11" s="51">
        <f>+AG11-AH11+AI11+AK11-AL11+AM11+AO11-AP11+AQ11+AS11-AT11+AU11+AW11-AX11+AY11+BA11-BB11+BC11+BE11-BF11+BG11</f>
        <v/>
      </c>
      <c r="BO11" s="51">
        <f>BJ11-BK11+BL11</f>
        <v/>
      </c>
      <c r="BP11" s="51">
        <f>IF((+BI11*0.08)&lt;BJ11,0,(+BI11*0.08)-BJ11)</f>
        <v/>
      </c>
      <c r="BQ11" s="85">
        <f>IF(BI11&lt;&gt;0,+BJ11/BI11,0)</f>
        <v/>
      </c>
      <c r="BR11" s="51" t="n"/>
      <c r="BS11" s="51" t="n"/>
      <c r="BT11" s="51" t="n"/>
      <c r="BU11" s="51" t="n"/>
      <c r="BV11" s="51" t="n"/>
      <c r="BW11" s="51" t="n"/>
      <c r="BX11" s="51" t="n"/>
      <c r="BY11" s="64" t="n"/>
    </row>
    <row r="12" ht="18" customFormat="1" customHeight="1" s="75">
      <c r="A12" s="52" t="n">
        <v>93512</v>
      </c>
      <c r="B12" s="53" t="inlineStr">
        <is>
          <t>Bergeron Josee</t>
        </is>
      </c>
      <c r="C12" s="54" t="n"/>
      <c r="D12" s="47" t="n"/>
      <c r="E12" s="48" t="n"/>
      <c r="F12" s="49" t="n"/>
      <c r="G12" s="50" t="n"/>
      <c r="H12" s="47" t="n"/>
      <c r="I12" s="48" t="n"/>
      <c r="J12" s="49" t="n"/>
      <c r="K12" s="51" t="n"/>
      <c r="L12" s="47" t="n"/>
      <c r="M12" s="48" t="n"/>
      <c r="N12" s="49" t="n"/>
      <c r="O12" s="51" t="n"/>
      <c r="P12" s="47" t="n"/>
      <c r="Q12" s="48" t="n"/>
      <c r="R12" s="49" t="n"/>
      <c r="S12" s="51" t="n"/>
      <c r="T12" s="47" t="n"/>
      <c r="U12" s="48" t="n"/>
      <c r="V12" s="49" t="n"/>
      <c r="W12" s="51" t="n"/>
      <c r="X12" s="82" t="n"/>
      <c r="Y12" s="48" t="n"/>
      <c r="Z12" s="49" t="n"/>
      <c r="AA12" s="51" t="n"/>
      <c r="AB12" s="47" t="n"/>
      <c r="AC12" s="48" t="n"/>
      <c r="AD12" s="49" t="n"/>
      <c r="AE12" s="51" t="n"/>
      <c r="AF12" s="82" t="n"/>
      <c r="AG12" s="48" t="n"/>
      <c r="AH12" s="49" t="n"/>
      <c r="AI12" s="51" t="n"/>
      <c r="AJ12" s="82" t="n"/>
      <c r="AK12" s="48" t="n"/>
      <c r="AL12" s="49" t="n"/>
      <c r="AM12" s="51" t="n"/>
      <c r="AN12" s="101" t="n"/>
      <c r="AO12" s="48" t="n"/>
      <c r="AP12" s="49" t="n"/>
      <c r="AQ12" s="51" t="n"/>
      <c r="AR12" s="47" t="n"/>
      <c r="AS12" s="48" t="n"/>
      <c r="AT12" s="49" t="n"/>
      <c r="AU12" s="51" t="n"/>
      <c r="AV12" s="47" t="n"/>
      <c r="AW12" s="48" t="n"/>
      <c r="AX12" s="49" t="n"/>
      <c r="AY12" s="50" t="n"/>
      <c r="AZ12" s="47" t="n"/>
      <c r="BA12" s="48" t="n"/>
      <c r="BB12" s="49" t="n"/>
      <c r="BC12" s="50" t="n"/>
      <c r="BD12" s="47" t="n"/>
      <c r="BE12" s="48" t="n"/>
      <c r="BF12" s="49" t="n"/>
      <c r="BG12" s="50" t="n"/>
      <c r="BH12" s="64" t="n"/>
      <c r="BI12" s="51">
        <f>+D12+H12+L12+P12+T12+X12+AB12+AF12+AJ12+AN12+AR12+AV12+AZ12+BD12</f>
        <v/>
      </c>
      <c r="BJ12" s="51">
        <f>+E12+I12+M12+Q12+U12+Y12+AC12+AG12+AK12+AO12+AS12+AW12+BA12+BE12</f>
        <v/>
      </c>
      <c r="BK12" s="51">
        <f>+F12+J12+N12+R12+V13+Z12+AD12+AH12+AL12+AP12+AT12+AX12+BB12+BF12</f>
        <v/>
      </c>
      <c r="BL12" s="51">
        <f>+G12+K12+O12+S12+W12+AA12+AE12+AI12+AM12+AQ12+AU12+AY12+BC12+BG12</f>
        <v/>
      </c>
      <c r="BM12" s="51">
        <f>+E12-F12+G12+I12-J12+K12+M12-N12+O12+Q12-R12+S12+U12-V13+W12+Y12-Z12+AA12+AC12-AD12+AE12</f>
        <v/>
      </c>
      <c r="BN12" s="51">
        <f>+AG12-AH12+AI12+AK12-AL12+AM12+AO12-AP12+AQ12+AS12-AT12+AU12+AW12-AX12+AY12+BA12-BB12+BC12+BE12-BF12+BG12</f>
        <v/>
      </c>
      <c r="BO12" s="51">
        <f>BJ12-BK12+BL12</f>
        <v/>
      </c>
      <c r="BP12" s="51">
        <f>IF((+BI12*0.08)&lt;BJ12,0,(+BI12*0.08)-BJ12)</f>
        <v/>
      </c>
      <c r="BQ12" s="85">
        <f>IF(BI12&lt;&gt;0,+BJ12/BI12,0)</f>
        <v/>
      </c>
      <c r="BR12" s="51" t="n"/>
      <c r="BS12" s="51" t="n"/>
      <c r="BT12" s="51" t="n"/>
      <c r="BU12" s="51" t="n"/>
      <c r="BV12" s="51" t="n"/>
      <c r="BW12" s="51" t="n"/>
      <c r="BX12" s="51" t="n"/>
      <c r="BY12" s="64" t="n"/>
    </row>
    <row r="13" ht="18" customFormat="1" customHeight="1" s="75">
      <c r="A13" s="52" t="n">
        <v>5274</v>
      </c>
      <c r="B13" s="53" t="inlineStr">
        <is>
          <t>Bernachez, Stephane</t>
        </is>
      </c>
      <c r="C13" s="54" t="n"/>
      <c r="D13" s="47" t="n"/>
      <c r="E13" s="48" t="n"/>
      <c r="F13" s="49" t="n"/>
      <c r="G13" s="50" t="n"/>
      <c r="H13" s="51" t="n"/>
      <c r="I13" s="48" t="n"/>
      <c r="J13" s="49" t="n"/>
      <c r="K13" s="51" t="n"/>
      <c r="L13" s="47" t="n"/>
      <c r="M13" s="48" t="n"/>
      <c r="N13" s="49" t="n"/>
      <c r="O13" s="51" t="n"/>
      <c r="P13" s="47" t="n"/>
      <c r="Q13" s="48" t="n"/>
      <c r="R13" s="49" t="n"/>
      <c r="S13" s="51" t="n"/>
      <c r="T13" s="47" t="n"/>
      <c r="U13" s="48" t="n"/>
      <c r="V13" s="49" t="n"/>
      <c r="W13" s="51" t="n"/>
      <c r="X13" s="82" t="n"/>
      <c r="Y13" s="48" t="n"/>
      <c r="Z13" s="49" t="n"/>
      <c r="AA13" s="51" t="n"/>
      <c r="AB13" s="47" t="n"/>
      <c r="AC13" s="48" t="n"/>
      <c r="AD13" s="49" t="n"/>
      <c r="AE13" s="51" t="n"/>
      <c r="AF13" s="82" t="n"/>
      <c r="AG13" s="48" t="n"/>
      <c r="AH13" s="49" t="n"/>
      <c r="AI13" s="51" t="n"/>
      <c r="AJ13" s="82" t="n"/>
      <c r="AK13" s="48" t="n"/>
      <c r="AL13" s="49" t="n"/>
      <c r="AM13" s="51" t="n"/>
      <c r="AN13" s="82" t="n"/>
      <c r="AO13" s="48" t="n"/>
      <c r="AP13" s="49" t="n"/>
      <c r="AQ13" s="51" t="n"/>
      <c r="AR13" s="47" t="n"/>
      <c r="AS13" s="48" t="n"/>
      <c r="AT13" s="49" t="n"/>
      <c r="AU13" s="51" t="n"/>
      <c r="AV13" s="47" t="n"/>
      <c r="AW13" s="48" t="n"/>
      <c r="AX13" s="49" t="n"/>
      <c r="AY13" s="50" t="n"/>
      <c r="AZ13" s="47" t="n"/>
      <c r="BA13" s="48" t="n"/>
      <c r="BB13" s="49" t="n"/>
      <c r="BC13" s="50" t="n"/>
      <c r="BD13" s="47" t="n"/>
      <c r="BE13" s="48" t="n"/>
      <c r="BF13" s="49" t="n"/>
      <c r="BG13" s="50" t="n"/>
      <c r="BH13" s="64" t="n"/>
      <c r="BI13" s="51">
        <f>+D13+H13+L13+P13+T13+X13+AB13+AF13+AJ13+AN13+AR13+AV13+AZ13+BD13</f>
        <v/>
      </c>
      <c r="BJ13" s="51">
        <f>+E13+I13+M13+Q13+U13+Y13+AC13+AG13+AK13+AO13+AS13+AW13+BA13+BE13</f>
        <v/>
      </c>
      <c r="BK13" s="51">
        <f>+F13+J13+N13+R13+V14+Z13+AD13+AH13+AL13+AP13+AT13+AX13+BB13+BF13</f>
        <v/>
      </c>
      <c r="BL13" s="51">
        <f>+G13+K13+O13+S13+W13+AA13+AE13+AI13+AM13+AQ13+AU13+AY13+BC13+BG13</f>
        <v/>
      </c>
      <c r="BM13" s="51">
        <f>+E13-F13+G13+I13-J13+K13+M13-N13+O13+Q13-R13+S13+U13-V14+W13+Y13-Z13+AA13+AC13-AD13+AE13</f>
        <v/>
      </c>
      <c r="BN13" s="51">
        <f>+AG13-AH13+AI13+AK13-AL13+AM13+AO13-AP13+AQ13+AS13-AT13+AU13+AW13-AX13+AY13+BA13-BB13+BC13+BE13-BF13+BG13</f>
        <v/>
      </c>
      <c r="BO13" s="51">
        <f>BJ13-BK13+BL13</f>
        <v/>
      </c>
      <c r="BP13" s="51">
        <f>IF((+BI13*0.08)&lt;BJ13,0,(+BI13*0.08)-BJ13)</f>
        <v/>
      </c>
      <c r="BQ13" s="85">
        <f>IF(BI13&lt;&gt;0,+BJ13/BI13,0)</f>
        <v/>
      </c>
      <c r="BR13" s="51" t="n"/>
      <c r="BS13" s="51" t="n"/>
      <c r="BT13" s="51" t="n"/>
      <c r="BU13" s="51" t="n"/>
      <c r="BV13" s="51" t="n"/>
      <c r="BW13" s="51" t="n"/>
      <c r="BX13" s="51" t="n"/>
      <c r="BY13" s="64" t="n"/>
    </row>
    <row r="14" ht="18" customFormat="1" customHeight="1" s="75">
      <c r="A14" s="52" t="n">
        <v>5749</v>
      </c>
      <c r="B14" s="53" t="inlineStr">
        <is>
          <t>Bertrand Nicolas</t>
        </is>
      </c>
      <c r="C14" s="54" t="n"/>
      <c r="D14" s="47" t="n"/>
      <c r="E14" s="48" t="n"/>
      <c r="F14" s="49" t="n"/>
      <c r="G14" s="50" t="n"/>
      <c r="H14" s="47" t="n"/>
      <c r="I14" s="48" t="n"/>
      <c r="J14" s="49" t="n"/>
      <c r="K14" s="51" t="n"/>
      <c r="L14" s="47" t="n"/>
      <c r="M14" s="48" t="n"/>
      <c r="N14" s="49" t="n"/>
      <c r="O14" s="51" t="n"/>
      <c r="P14" s="47" t="n"/>
      <c r="Q14" s="48" t="n"/>
      <c r="R14" s="49" t="n"/>
      <c r="S14" s="51" t="n"/>
      <c r="T14" s="47" t="n"/>
      <c r="U14" s="48" t="n"/>
      <c r="V14" s="49" t="n"/>
      <c r="W14" s="50" t="n"/>
      <c r="X14" s="82" t="n"/>
      <c r="Y14" s="48" t="n"/>
      <c r="Z14" s="49" t="n"/>
      <c r="AA14" s="51" t="n"/>
      <c r="AB14" s="47" t="n"/>
      <c r="AC14" s="48" t="n"/>
      <c r="AD14" s="49" t="n"/>
      <c r="AE14" s="50" t="n"/>
      <c r="AF14" s="82" t="n"/>
      <c r="AG14" s="48" t="n"/>
      <c r="AH14" s="49" t="n"/>
      <c r="AI14" s="51" t="n"/>
      <c r="AJ14" s="82" t="n"/>
      <c r="AK14" s="48" t="n"/>
      <c r="AL14" s="49" t="n"/>
      <c r="AM14" s="51" t="n"/>
      <c r="AN14" s="101" t="n"/>
      <c r="AO14" s="48" t="n"/>
      <c r="AP14" s="49" t="n"/>
      <c r="AQ14" s="51" t="n"/>
      <c r="AR14" s="47" t="n"/>
      <c r="AS14" s="48" t="n"/>
      <c r="AT14" s="49" t="n"/>
      <c r="AU14" s="51" t="n"/>
      <c r="AV14" s="47" t="n"/>
      <c r="AW14" s="48" t="n"/>
      <c r="AX14" s="49" t="n"/>
      <c r="AY14" s="50" t="n"/>
      <c r="AZ14" s="51" t="n"/>
      <c r="BA14" s="48" t="n"/>
      <c r="BB14" s="49" t="n"/>
      <c r="BC14" s="50" t="n"/>
      <c r="BD14" s="47" t="n"/>
      <c r="BE14" s="48" t="n"/>
      <c r="BF14" s="49" t="n"/>
      <c r="BG14" s="50" t="n"/>
      <c r="BH14" s="64" t="n"/>
      <c r="BI14" s="51">
        <f>+D14+H14+L14+P14+T14+X14+AB14+AF14+AJ14+AN14+AR14+AV14+AZ14+BD14</f>
        <v/>
      </c>
      <c r="BJ14" s="51">
        <f>+E14+I14+M14+Q14+U14+Y14+AC14+AG14+AK14+AO14+AS14+AW14+BA14+BE14</f>
        <v/>
      </c>
      <c r="BK14" s="51">
        <f>+F14+J14+N14+R14+V15+Z14+AD14+AH14+AL14+AP14+AT14+AX14+BB14+BF14</f>
        <v/>
      </c>
      <c r="BL14" s="51">
        <f>+G14+K14+O14+S14+W14+AA14+AE14+AI14+AM14+AQ14+AU14+AY14+BC14+BG14</f>
        <v/>
      </c>
      <c r="BM14" s="51">
        <f>+E14-F14+G14+I14-J14+K14+M14-N14+O14+Q14-R14+S14+U14-V15+W14+Y14-Z14+AA14+AC14-AD14+AE14</f>
        <v/>
      </c>
      <c r="BN14" s="51">
        <f>+AG14-AH14+AI14+AK14-AL14+AM14+AO14-AP14+AQ14+AS14-AT14+AU14+AW14-AX14+AY14+BA14-BB14+BC14+BE14-BF14+BG14</f>
        <v/>
      </c>
      <c r="BO14" s="51">
        <f>BJ14-BK14+BL14</f>
        <v/>
      </c>
      <c r="BP14" s="51">
        <f>IF((+BI14*0.08)&lt;BJ14,0,(+BI14*0.08)-BJ14)</f>
        <v/>
      </c>
      <c r="BQ14" s="85">
        <f>IF(BI14&lt;&gt;0,+BJ14/BI14,0)</f>
        <v/>
      </c>
      <c r="BR14" s="51" t="n"/>
      <c r="BS14" s="51" t="n"/>
      <c r="BT14" s="51" t="n"/>
      <c r="BU14" s="51" t="n"/>
      <c r="BV14" s="51" t="n"/>
      <c r="BW14" s="51" t="n"/>
      <c r="BX14" s="51" t="n"/>
      <c r="BY14" s="64" t="n"/>
    </row>
    <row r="15" ht="18" customFormat="1" customHeight="1" s="75">
      <c r="A15" s="52" t="n">
        <v>91663</v>
      </c>
      <c r="B15" s="53" t="inlineStr">
        <is>
          <t>Bordeleau Lyne</t>
        </is>
      </c>
      <c r="C15" s="54" t="n"/>
      <c r="D15" s="47" t="n"/>
      <c r="E15" s="48" t="n"/>
      <c r="F15" s="49" t="n"/>
      <c r="G15" s="50" t="n"/>
      <c r="H15" s="47" t="n"/>
      <c r="I15" s="48" t="n"/>
      <c r="J15" s="49" t="n"/>
      <c r="K15" s="51" t="n"/>
      <c r="L15" s="47" t="n"/>
      <c r="M15" s="48" t="n"/>
      <c r="N15" s="49" t="n"/>
      <c r="O15" s="51" t="n"/>
      <c r="P15" s="47" t="n"/>
      <c r="Q15" s="48" t="n"/>
      <c r="R15" s="49" t="n"/>
      <c r="S15" s="51" t="n"/>
      <c r="T15" s="47" t="n"/>
      <c r="U15" s="48" t="n"/>
      <c r="V15" s="49" t="n"/>
      <c r="W15" s="51" t="n"/>
      <c r="X15" s="82" t="n"/>
      <c r="Y15" s="48" t="n"/>
      <c r="Z15" s="49" t="n"/>
      <c r="AA15" s="51" t="n"/>
      <c r="AB15" s="47" t="n"/>
      <c r="AC15" s="48" t="n"/>
      <c r="AD15" s="49" t="n"/>
      <c r="AE15" s="51" t="n"/>
      <c r="AF15" s="82" t="n"/>
      <c r="AG15" s="48" t="n"/>
      <c r="AH15" s="49" t="n"/>
      <c r="AI15" s="51" t="n"/>
      <c r="AJ15" s="82" t="n"/>
      <c r="AK15" s="48" t="n"/>
      <c r="AL15" s="49" t="n"/>
      <c r="AM15" s="51" t="n"/>
      <c r="AN15" s="101" t="n"/>
      <c r="AO15" s="48" t="n"/>
      <c r="AP15" s="49" t="n"/>
      <c r="AQ15" s="51" t="n"/>
      <c r="AR15" s="47" t="n"/>
      <c r="AS15" s="48" t="n"/>
      <c r="AT15" s="49" t="n"/>
      <c r="AU15" s="51" t="n"/>
      <c r="AV15" s="47" t="n"/>
      <c r="AW15" s="48" t="n"/>
      <c r="AX15" s="49" t="n"/>
      <c r="AY15" s="50" t="n"/>
      <c r="AZ15" s="47" t="n"/>
      <c r="BA15" s="48" t="n"/>
      <c r="BB15" s="49" t="n"/>
      <c r="BC15" s="50" t="n"/>
      <c r="BD15" s="47" t="n"/>
      <c r="BE15" s="48" t="n"/>
      <c r="BF15" s="49" t="n"/>
      <c r="BG15" s="50" t="n"/>
      <c r="BH15" s="64" t="n"/>
      <c r="BI15" s="51">
        <f>+D15+H15+L15+P15+T15+X15+AB15+AF15+AJ15+AN15+AR15+AV15+AZ15+BD15</f>
        <v/>
      </c>
      <c r="BJ15" s="51">
        <f>+E15+I15+M15+Q15+U15+Y15+AC15+AG15+AK15+AO15+AS15+AW15+BA15+BE15</f>
        <v/>
      </c>
      <c r="BK15" s="51">
        <f>+F15+J15+N15+R15+V16+Z15+AD15+AH15+AL15+AP15+AT15+AX15+BB15+BF15</f>
        <v/>
      </c>
      <c r="BL15" s="51">
        <f>+G15+K15+O15+S15+W15+AA15+AE15+AI15+AM15+AQ15+AU15+AY15+BC15+BG15</f>
        <v/>
      </c>
      <c r="BM15" s="51">
        <f>+E15-F15+G15+I15-J15+K15+M15-N15+O15+Q15-R15+S15+U15-V16+W15+Y15-Z15+AA15+AC15-AD15+AE15</f>
        <v/>
      </c>
      <c r="BN15" s="51">
        <f>+AG15-AH15+AI15+AK15-AL15+AM15+AO15-AP15+AQ15+AS15-AT15+AU15+AW15-AX15+AY15+BA15-BB15+BC15+BE15-BF15+BG15</f>
        <v/>
      </c>
      <c r="BO15" s="51">
        <f>BJ15-BK15+BL15</f>
        <v/>
      </c>
      <c r="BP15" s="51">
        <f>IF((+BI15*0.08)&lt;BJ15,0,(+BI15*0.08)-BJ15)</f>
        <v/>
      </c>
      <c r="BQ15" s="85">
        <f>IF(BI15&lt;&gt;0,+BJ15/BI15,0)</f>
        <v/>
      </c>
      <c r="BR15" s="51" t="n"/>
      <c r="BS15" s="51" t="n"/>
      <c r="BT15" s="51" t="n"/>
      <c r="BU15" s="51" t="n"/>
      <c r="BV15" s="51" t="n"/>
      <c r="BW15" s="51" t="n"/>
      <c r="BX15" s="51" t="n"/>
      <c r="BY15" s="64" t="n"/>
    </row>
    <row r="16" ht="18" customFormat="1" customHeight="1" s="75">
      <c r="A16" s="52" t="n">
        <v>5515</v>
      </c>
      <c r="B16" s="53" t="inlineStr">
        <is>
          <t>Campos. Plinio Testa</t>
        </is>
      </c>
      <c r="C16" s="54" t="n"/>
      <c r="D16" s="47" t="n"/>
      <c r="E16" s="48" t="n"/>
      <c r="F16" s="49" t="n"/>
      <c r="G16" s="50" t="n"/>
      <c r="H16" s="51" t="n"/>
      <c r="I16" s="48" t="n"/>
      <c r="J16" s="49" t="n"/>
      <c r="K16" s="51" t="n"/>
      <c r="L16" s="47" t="n"/>
      <c r="M16" s="48" t="n"/>
      <c r="N16" s="49" t="n"/>
      <c r="O16" s="51" t="n"/>
      <c r="P16" s="47" t="n"/>
      <c r="Q16" s="48" t="n"/>
      <c r="R16" s="49" t="n"/>
      <c r="S16" s="51" t="n"/>
      <c r="T16" s="47" t="n"/>
      <c r="U16" s="48" t="n"/>
      <c r="V16" s="49" t="n"/>
      <c r="W16" s="51" t="n"/>
      <c r="X16" s="82" t="n"/>
      <c r="Y16" s="48" t="n"/>
      <c r="Z16" s="49" t="n"/>
      <c r="AA16" s="51" t="n"/>
      <c r="AB16" s="47" t="n"/>
      <c r="AC16" s="48" t="n"/>
      <c r="AD16" s="49" t="n"/>
      <c r="AE16" s="51" t="n"/>
      <c r="AF16" s="82" t="n"/>
      <c r="AG16" s="48" t="n"/>
      <c r="AH16" s="49" t="n"/>
      <c r="AI16" s="51" t="n"/>
      <c r="AJ16" s="82" t="n"/>
      <c r="AK16" s="48" t="n"/>
      <c r="AL16" s="49" t="n"/>
      <c r="AM16" s="51" t="n"/>
      <c r="AN16" s="101" t="n"/>
      <c r="AO16" s="48" t="n"/>
      <c r="AP16" s="49" t="n"/>
      <c r="AQ16" s="51" t="n"/>
      <c r="AR16" s="47" t="n"/>
      <c r="AS16" s="48" t="n"/>
      <c r="AT16" s="49" t="n"/>
      <c r="AU16" s="51" t="n"/>
      <c r="AV16" s="47" t="n"/>
      <c r="AW16" s="48" t="n"/>
      <c r="AX16" s="49" t="n"/>
      <c r="AY16" s="50" t="n"/>
      <c r="AZ16" s="47" t="n"/>
      <c r="BA16" s="48" t="n"/>
      <c r="BB16" s="49" t="n"/>
      <c r="BC16" s="50" t="n"/>
      <c r="BD16" s="47" t="n"/>
      <c r="BE16" s="48" t="n"/>
      <c r="BF16" s="49" t="n"/>
      <c r="BG16" s="50" t="n"/>
      <c r="BH16" s="64" t="n"/>
      <c r="BI16" s="51">
        <f>+D16+H16+L16+P16+T16+X16+AB16+AF16+AJ16+AN16+AR16+AV16+AZ16+BD16</f>
        <v/>
      </c>
      <c r="BJ16" s="51">
        <f>+E16+I16+M16+Q16+U16+Y16+AC16+AG16+AK16+AO16+AS16+AW16+BA16+BE16</f>
        <v/>
      </c>
      <c r="BK16" s="51">
        <f>+F16+J16+N16+R16+V17+Z16+AD16+AH16+AL16+AP16+AT16+AX16+BB16+BF16</f>
        <v/>
      </c>
      <c r="BL16" s="51">
        <f>+G16+K16+O16+S16+W16+AA16+AE16+AI16+AM16+AQ16+AU16+AY16+BC16+BG16</f>
        <v/>
      </c>
      <c r="BM16" s="51">
        <f>+E16-F16+G16+I16-J16+K16+M16-N16+O16+Q16-R16+S16+U16-V17+W16+Y16-Z16+AA16+AC16-AD16+AE16</f>
        <v/>
      </c>
      <c r="BN16" s="51">
        <f>+AG16-AH16+AI16+AK16-AL16+AM16+AO16-AP16+AQ16+AS16-AT16+AU16+AW16-AX16+AY16+BA16-BB16+BC16+BE16-BF16+BG16</f>
        <v/>
      </c>
      <c r="BO16" s="51">
        <f>BJ16-BK16+BL16</f>
        <v/>
      </c>
      <c r="BP16" s="51">
        <f>IF((+BI16*0.08)&lt;BJ16,0,(+BI16*0.08)-BJ16)</f>
        <v/>
      </c>
      <c r="BQ16" s="85">
        <f>IF(BI16&lt;&gt;0,+BJ16/BI16,0)</f>
        <v/>
      </c>
      <c r="BR16" s="51" t="n"/>
      <c r="BS16" s="51" t="n"/>
      <c r="BT16" s="51" t="n"/>
      <c r="BU16" s="51" t="n"/>
      <c r="BV16" s="51" t="n"/>
      <c r="BW16" s="51" t="n"/>
      <c r="BX16" s="51" t="n"/>
      <c r="BY16" s="64" t="n"/>
    </row>
    <row r="17" ht="18" customFormat="1" customHeight="1" s="75">
      <c r="A17" s="52" t="n">
        <v>5361</v>
      </c>
      <c r="B17" s="53" t="inlineStr">
        <is>
          <t>Cecile patricia</t>
        </is>
      </c>
      <c r="C17" s="55" t="n"/>
      <c r="D17" s="47" t="n"/>
      <c r="E17" s="48" t="n"/>
      <c r="F17" s="49" t="n"/>
      <c r="G17" s="50" t="n"/>
      <c r="H17" s="51" t="n"/>
      <c r="I17" s="48" t="n"/>
      <c r="J17" s="49" t="n"/>
      <c r="K17" s="51" t="n"/>
      <c r="L17" s="47" t="n"/>
      <c r="M17" s="48" t="n"/>
      <c r="N17" s="49" t="n"/>
      <c r="O17" s="51" t="n"/>
      <c r="P17" s="96" t="n"/>
      <c r="Q17" s="48" t="n"/>
      <c r="R17" s="49" t="n"/>
      <c r="S17" s="51" t="n"/>
      <c r="T17" s="47" t="n"/>
      <c r="U17" s="48" t="n"/>
      <c r="V17" s="49" t="n"/>
      <c r="W17" s="51" t="n"/>
      <c r="X17" s="82" t="n"/>
      <c r="Y17" s="48" t="n"/>
      <c r="Z17" s="49" t="n"/>
      <c r="AA17" s="51" t="n"/>
      <c r="AB17" s="47" t="n"/>
      <c r="AC17" s="48" t="n"/>
      <c r="AD17" s="49" t="n"/>
      <c r="AE17" s="51" t="n"/>
      <c r="AF17" s="82" t="n"/>
      <c r="AG17" s="48" t="n"/>
      <c r="AH17" s="49" t="n"/>
      <c r="AI17" s="51" t="n"/>
      <c r="AJ17" s="82" t="n"/>
      <c r="AK17" s="48" t="n"/>
      <c r="AL17" s="49" t="n"/>
      <c r="AM17" s="51" t="n"/>
      <c r="AN17" s="82" t="n"/>
      <c r="AO17" s="48" t="n"/>
      <c r="AP17" s="49" t="n"/>
      <c r="AQ17" s="51" t="n"/>
      <c r="AR17" s="47" t="n"/>
      <c r="AS17" s="48" t="n"/>
      <c r="AT17" s="49" t="n"/>
      <c r="AU17" s="51" t="n"/>
      <c r="AV17" s="47" t="n"/>
      <c r="AW17" s="48" t="n"/>
      <c r="AX17" s="49" t="n"/>
      <c r="AY17" s="50" t="n"/>
      <c r="AZ17" s="51" t="n"/>
      <c r="BA17" s="48" t="n"/>
      <c r="BB17" s="49" t="n"/>
      <c r="BC17" s="50" t="n"/>
      <c r="BD17" s="51" t="n"/>
      <c r="BE17" s="48" t="n"/>
      <c r="BF17" s="49" t="n"/>
      <c r="BG17" s="50" t="n"/>
      <c r="BH17" s="64" t="n"/>
      <c r="BI17" s="51">
        <f>+D17+H17+L17+P17+T17+X17+AB17+AF17+AJ17+AN17+AR17+AV17+AZ17+BD17</f>
        <v/>
      </c>
      <c r="BJ17" s="51">
        <f>+E17+I17+M17+Q17+U17+Y17+AC17+AG17+AK17+AO17+AS17+AW17+BA17+BE17</f>
        <v/>
      </c>
      <c r="BK17" s="51">
        <f>+F17+J17+N17+R17+V18+Z17+AD17+AH17+AL17+AP17+AT17+AX17+BB17+BF17</f>
        <v/>
      </c>
      <c r="BL17" s="51">
        <f>+G17+K17+O17+S17+W17+AA17+AE17+AI17+AM17+AQ17+AU17+AY17+BC17+BG17</f>
        <v/>
      </c>
      <c r="BM17" s="51">
        <f>+E17-F17+G17+I17-J17+K17+M17-N17+O17+Q17-R17+S17+U17-V18+W17+Y17-Z17+AA17+AC17-AD17+AE17</f>
        <v/>
      </c>
      <c r="BN17" s="51">
        <f>+AG17-AH17+AI17+AK17-AL17+AM17+AO17-AP17+AQ17+AS17-AT17+AU17+AW17-AX17+AY17+BA17-BB17+BC17+BE17-BF17+BG17</f>
        <v/>
      </c>
      <c r="BO17" s="51">
        <f>BJ17-BK17+BL17</f>
        <v/>
      </c>
      <c r="BP17" s="51">
        <f>IF((+BI17*0.08)&lt;BJ17,0,(+BI17*0.08)-BJ17)</f>
        <v/>
      </c>
      <c r="BQ17" s="85">
        <f>IF(BI17&lt;&gt;0,+BJ17/BI17,0)</f>
        <v/>
      </c>
      <c r="BR17" s="51" t="n"/>
      <c r="BS17" s="51" t="n"/>
      <c r="BT17" s="51" t="n"/>
      <c r="BU17" s="51" t="n"/>
      <c r="BV17" s="51" t="n"/>
      <c r="BW17" s="51" t="n"/>
      <c r="BX17" s="51" t="n"/>
      <c r="BY17" s="64" t="n"/>
    </row>
    <row r="18" ht="18" customFormat="1" customHeight="1" s="75">
      <c r="A18" s="52" t="n">
        <v>4219</v>
      </c>
      <c r="B18" s="86" t="inlineStr">
        <is>
          <t>Chartier Marie-Eve</t>
        </is>
      </c>
      <c r="C18" s="87" t="n"/>
      <c r="D18" s="47" t="n"/>
      <c r="E18" s="48" t="n"/>
      <c r="F18" s="49" t="n"/>
      <c r="G18" s="50" t="n"/>
      <c r="H18" s="47" t="n"/>
      <c r="I18" s="48" t="n"/>
      <c r="J18" s="49" t="n"/>
      <c r="K18" s="51" t="n"/>
      <c r="L18" s="47" t="n"/>
      <c r="M18" s="48" t="n"/>
      <c r="N18" s="49" t="n"/>
      <c r="O18" s="51" t="n"/>
      <c r="P18" s="47" t="n"/>
      <c r="Q18" s="48" t="n"/>
      <c r="R18" s="49" t="n"/>
      <c r="S18" s="51" t="n"/>
      <c r="T18" s="47" t="n"/>
      <c r="U18" s="48" t="n"/>
      <c r="V18" s="49" t="n"/>
      <c r="W18" s="51" t="n"/>
      <c r="X18" s="82" t="n"/>
      <c r="Y18" s="48" t="n"/>
      <c r="Z18" s="49" t="n"/>
      <c r="AA18" s="51" t="n"/>
      <c r="AB18" s="47" t="n"/>
      <c r="AC18" s="48" t="n"/>
      <c r="AD18" s="49" t="n"/>
      <c r="AE18" s="51" t="n"/>
      <c r="AF18" s="82" t="n"/>
      <c r="AG18" s="48" t="n"/>
      <c r="AH18" s="49" t="n"/>
      <c r="AI18" s="51" t="n"/>
      <c r="AJ18" s="82" t="n"/>
      <c r="AK18" s="48" t="n"/>
      <c r="AL18" s="49" t="n"/>
      <c r="AM18" s="51" t="n"/>
      <c r="AN18" s="82" t="n"/>
      <c r="AO18" s="48" t="n"/>
      <c r="AP18" s="49" t="n"/>
      <c r="AQ18" s="51" t="n"/>
      <c r="AR18" s="47" t="n"/>
      <c r="AS18" s="48" t="n"/>
      <c r="AT18" s="49" t="n"/>
      <c r="AU18" s="51" t="n"/>
      <c r="AV18" s="47" t="n"/>
      <c r="AW18" s="48" t="n"/>
      <c r="AX18" s="49" t="n"/>
      <c r="AY18" s="50" t="n"/>
      <c r="AZ18" s="47" t="n"/>
      <c r="BA18" s="48" t="n"/>
      <c r="BB18" s="49" t="n"/>
      <c r="BC18" s="50" t="n"/>
      <c r="BD18" s="47" t="n"/>
      <c r="BE18" s="48" t="n"/>
      <c r="BF18" s="49" t="n"/>
      <c r="BG18" s="50" t="n"/>
      <c r="BH18" s="64" t="n"/>
      <c r="BI18" s="51">
        <f>+D18+H18+L18+P18+T18+X18+AB18+AF18+AJ18+AN18+AR18+AV18+AZ18+BD18</f>
        <v/>
      </c>
      <c r="BJ18" s="51">
        <f>+E18+I18+M18+Q18+U18+Y18+AC18+AG18+AK18+AO18+AS18+AW18+BA18+BE18</f>
        <v/>
      </c>
      <c r="BK18" s="51">
        <f>+F18+J18+N18+R18+V19+Z18+AD18+AH18+AL18+AP18+AT18+AX18+BB18+BF18</f>
        <v/>
      </c>
      <c r="BL18" s="51">
        <f>+G18+K18+O18+S18+W18+AA18+AE18+AI18+AM18+AQ18+AU18+AY18+BC18+BG18</f>
        <v/>
      </c>
      <c r="BM18" s="51">
        <f>+E18-F18+G18+I18-J18+K18+M18-N18+O18+Q18-R18+S18+U18-V19+W18+Y18-Z18+AA18+AC18-AD18+AE18</f>
        <v/>
      </c>
      <c r="BN18" s="51">
        <f>+AG18-AH18+AI18+AK18-AL18+AM18+AO18-AP18+AQ18+AS18-AT18+AU18+AW18-AX18+AY18+BA18-BB18+BC18+BE18-BF18+BG18</f>
        <v/>
      </c>
      <c r="BO18" s="51">
        <f>BJ18-BK18+BL18</f>
        <v/>
      </c>
      <c r="BP18" s="51">
        <f>IF((+BI18*0.08)&lt;BJ18,0,(+BI18*0.08)-BJ18)</f>
        <v/>
      </c>
      <c r="BQ18" s="85">
        <f>IF(BI18&lt;&gt;0,+BJ18/BI18,0)</f>
        <v/>
      </c>
      <c r="BR18" s="51" t="n"/>
      <c r="BS18" s="51" t="n"/>
      <c r="BT18" s="51" t="n"/>
      <c r="BU18" s="51" t="n"/>
      <c r="BV18" s="51" t="n"/>
      <c r="BW18" s="51" t="n"/>
      <c r="BX18" s="51" t="n"/>
      <c r="BY18" s="64" t="n"/>
    </row>
    <row r="19" ht="18" customFormat="1" customHeight="1" s="75">
      <c r="A19" s="52" t="n">
        <v>3767</v>
      </c>
      <c r="B19" s="53" t="inlineStr">
        <is>
          <t xml:space="preserve">Dagenais Julie </t>
        </is>
      </c>
      <c r="C19" s="55" t="n"/>
      <c r="D19" s="47" t="n"/>
      <c r="E19" s="48" t="n"/>
      <c r="F19" s="49" t="n"/>
      <c r="G19" s="50" t="n"/>
      <c r="H19" s="47" t="n"/>
      <c r="I19" s="48" t="n"/>
      <c r="J19" s="49" t="n"/>
      <c r="K19" s="51" t="n"/>
      <c r="L19" s="47" t="n"/>
      <c r="M19" s="48" t="n"/>
      <c r="N19" s="49" t="n"/>
      <c r="O19" s="51" t="n"/>
      <c r="P19" s="47" t="n"/>
      <c r="Q19" s="48" t="n"/>
      <c r="R19" s="49" t="n"/>
      <c r="S19" s="51" t="n"/>
      <c r="T19" s="47" t="n"/>
      <c r="U19" s="48" t="n"/>
      <c r="V19" s="49" t="n"/>
      <c r="W19" s="51" t="n"/>
      <c r="X19" s="82" t="n"/>
      <c r="Y19" s="48" t="n"/>
      <c r="Z19" s="49" t="n"/>
      <c r="AA19" s="51" t="n"/>
      <c r="AB19" s="47" t="n"/>
      <c r="AC19" s="48" t="n"/>
      <c r="AD19" s="49" t="n"/>
      <c r="AE19" s="51" t="n"/>
      <c r="AF19" s="82" t="n"/>
      <c r="AG19" s="48" t="n"/>
      <c r="AH19" s="49" t="n"/>
      <c r="AI19" s="51" t="n"/>
      <c r="AJ19" s="82" t="n"/>
      <c r="AK19" s="48" t="n"/>
      <c r="AL19" s="49" t="n"/>
      <c r="AM19" s="51" t="n"/>
      <c r="AN19" s="101" t="n"/>
      <c r="AO19" s="48" t="n"/>
      <c r="AP19" s="49" t="n"/>
      <c r="AQ19" s="51" t="n"/>
      <c r="AR19" s="47" t="n"/>
      <c r="AS19" s="48" t="n"/>
      <c r="AT19" s="49" t="n"/>
      <c r="AU19" s="51" t="n"/>
      <c r="AV19" s="47" t="n"/>
      <c r="AW19" s="48" t="n"/>
      <c r="AX19" s="49" t="n"/>
      <c r="AY19" s="50" t="n"/>
      <c r="AZ19" s="47" t="n"/>
      <c r="BA19" s="48" t="n"/>
      <c r="BB19" s="49" t="n"/>
      <c r="BC19" s="50" t="n"/>
      <c r="BD19" s="47" t="n"/>
      <c r="BE19" s="48" t="n"/>
      <c r="BF19" s="49" t="n"/>
      <c r="BG19" s="50" t="n"/>
      <c r="BH19" s="64" t="n"/>
      <c r="BI19" s="51">
        <f>+D19+H19+L19+P19+T19+X19+AB19+AF19+AJ19+AN19+AR19+AV19+AZ19+BD19</f>
        <v/>
      </c>
      <c r="BJ19" s="51">
        <f>+E19+I19+M19+Q19+U19+Y19+AC19+AG19+AK19+AO19+AS19+AW19+BA19+BE19</f>
        <v/>
      </c>
      <c r="BK19" s="51">
        <f>+F19+J19+N19+R19+V20+Z19+AD19+AH19+AL19+AP19+AT19+AX19+BB19+BF19</f>
        <v/>
      </c>
      <c r="BL19" s="51">
        <f>+G19+K19+O19+S19+W19+AA19+AE19+AI19+AM19+AQ19+AU19+AY19+BC19+BG19</f>
        <v/>
      </c>
      <c r="BM19" s="51">
        <f>+E19-F19+G19+I19-J19+K19+M19-N19+O19+Q19-R19+S19+U19-V20+W19+Y19-Z19+AA19+AC19-AD19+AE19</f>
        <v/>
      </c>
      <c r="BN19" s="51">
        <f>+AG19-AH19+AI19+AK19-AL19+AM19+AO19-AP19+AQ19+AS19-AT19+AU19+AW19-AX19+AY19+BA19-BB19+BC19+BE19-BF19+BG19</f>
        <v/>
      </c>
      <c r="BO19" s="51">
        <f>BJ19-BK19+BL19</f>
        <v/>
      </c>
      <c r="BP19" s="51">
        <f>IF((+BI19*0.08)&lt;BJ19,0,(+BI19*0.08)-BJ19)</f>
        <v/>
      </c>
      <c r="BQ19" s="85">
        <f>IF(BI19&lt;&gt;0,+BJ19/BI19,0)</f>
        <v/>
      </c>
      <c r="BR19" s="51" t="n"/>
      <c r="BS19" s="51" t="n"/>
      <c r="BT19" s="51" t="n"/>
      <c r="BU19" s="51" t="n"/>
      <c r="BV19" s="51" t="n"/>
      <c r="BW19" s="51" t="n"/>
      <c r="BX19" s="51" t="n"/>
      <c r="BY19" s="64" t="n"/>
    </row>
    <row r="20" ht="18" customFormat="1" customHeight="1" s="75">
      <c r="A20" s="52" t="n">
        <v>5742</v>
      </c>
      <c r="B20" s="53" t="inlineStr">
        <is>
          <t>Di Blasio Bianca</t>
        </is>
      </c>
      <c r="C20" s="53" t="n"/>
      <c r="D20" s="47" t="n"/>
      <c r="E20" s="48" t="n"/>
      <c r="F20" s="49" t="n"/>
      <c r="G20" s="50" t="n"/>
      <c r="H20" s="51" t="n"/>
      <c r="I20" s="48" t="n"/>
      <c r="J20" s="49" t="n"/>
      <c r="K20" s="51" t="n"/>
      <c r="L20" s="47" t="n"/>
      <c r="M20" s="48" t="n"/>
      <c r="N20" s="49" t="n"/>
      <c r="O20" s="51" t="n"/>
      <c r="P20" s="47" t="n"/>
      <c r="Q20" s="48" t="n"/>
      <c r="R20" s="49" t="n"/>
      <c r="S20" s="51" t="n"/>
      <c r="T20" s="47" t="n"/>
      <c r="U20" s="48" t="n"/>
      <c r="V20" s="49" t="n"/>
      <c r="W20" s="50" t="n"/>
      <c r="X20" s="82" t="n"/>
      <c r="Y20" s="48" t="n"/>
      <c r="Z20" s="49" t="n"/>
      <c r="AA20" s="50" t="n"/>
      <c r="AB20" s="47" t="n"/>
      <c r="AC20" s="48" t="n"/>
      <c r="AD20" s="49" t="n"/>
      <c r="AE20" s="50" t="n"/>
      <c r="AF20" s="82" t="n"/>
      <c r="AG20" s="48" t="n"/>
      <c r="AH20" s="49" t="n"/>
      <c r="AI20" s="50" t="n"/>
      <c r="AJ20" s="82" t="n"/>
      <c r="AK20" s="48" t="n"/>
      <c r="AL20" s="49" t="n"/>
      <c r="AM20" s="51" t="n"/>
      <c r="AN20" s="101" t="n"/>
      <c r="AO20" s="48" t="n"/>
      <c r="AP20" s="49" t="n"/>
      <c r="AQ20" s="50" t="n"/>
      <c r="AR20" s="47" t="n"/>
      <c r="AS20" s="48" t="n"/>
      <c r="AT20" s="49" t="n"/>
      <c r="AU20" s="51" t="n"/>
      <c r="AV20" s="47" t="n"/>
      <c r="AW20" s="48" t="n"/>
      <c r="AX20" s="49" t="n"/>
      <c r="AY20" s="50" t="n"/>
      <c r="AZ20" s="51" t="n"/>
      <c r="BA20" s="48" t="n"/>
      <c r="BB20" s="49" t="n"/>
      <c r="BC20" s="50" t="n"/>
      <c r="BD20" s="51" t="n"/>
      <c r="BE20" s="48" t="n"/>
      <c r="BF20" s="49" t="n"/>
      <c r="BG20" s="50" t="n"/>
      <c r="BH20" s="64" t="n"/>
      <c r="BI20" s="51">
        <f>+D20+H20+L20+P20+T20+X20+AB20+AF20+AJ20+AN20+AR20+AV20+AZ20+BD20</f>
        <v/>
      </c>
      <c r="BJ20" s="51">
        <f>+E20+I20+M20+Q20+U20+Y20+AC20+AG20+AK20+AO20+AS20+AW20+BA20+BE20</f>
        <v/>
      </c>
      <c r="BK20" s="51">
        <f>+F20+J20+N20+R20+V21+Z20+AD20+AH20+AL20+AP20+AT20+AX20+BB20+BF20</f>
        <v/>
      </c>
      <c r="BL20" s="51">
        <f>+G20+K20+O20+S20+W20+AA20+AE20+AI20+AM20+AQ20+AU20+AY20+BC20+BG20</f>
        <v/>
      </c>
      <c r="BM20" s="51">
        <f>+E20-F20+G20+I20-J20+K20+M20-N20+O20+Q20-R20+S20+U20-V21+W20+Y20-Z20+AA20+AC20-AD20+AE20</f>
        <v/>
      </c>
      <c r="BN20" s="51">
        <f>+AG20-AH20+AI20+AK20-AL20+AM20+AO20-AP20+AQ20+AS20-AT20+AU20+AW20-AX20+AY20+BA20-BB20+BC20+BE20-BF20+BG20</f>
        <v/>
      </c>
      <c r="BO20" s="51">
        <f>BJ20-BK20+BL20</f>
        <v/>
      </c>
      <c r="BP20" s="51">
        <f>IF((+BI20*0.08)&lt;BJ20,0,(+BI20*0.08)-BJ20)</f>
        <v/>
      </c>
      <c r="BQ20" s="85">
        <f>IF(BI20&lt;&gt;0,+BJ20/BI20,0)</f>
        <v/>
      </c>
      <c r="BR20" s="64" t="n"/>
      <c r="BS20" s="64" t="n"/>
      <c r="BT20" s="64" t="n"/>
      <c r="BU20" s="64" t="n"/>
      <c r="BV20" s="64" t="n"/>
      <c r="BW20" s="64" t="n"/>
      <c r="BX20" s="64" t="n"/>
      <c r="BY20" s="64" t="n"/>
    </row>
    <row r="21" ht="18" customFormat="1" customHeight="1" s="75">
      <c r="A21" s="52" t="n">
        <v>4290</v>
      </c>
      <c r="B21" s="86" t="inlineStr">
        <is>
          <t>Difrusia Costantino</t>
        </is>
      </c>
      <c r="C21" s="55" t="n"/>
      <c r="D21" s="47" t="n"/>
      <c r="E21" s="48" t="n"/>
      <c r="F21" s="49" t="n"/>
      <c r="G21" s="50" t="n"/>
      <c r="H21" s="47" t="n"/>
      <c r="I21" s="48" t="n"/>
      <c r="J21" s="49" t="n"/>
      <c r="K21" s="51" t="n"/>
      <c r="L21" s="47" t="n"/>
      <c r="M21" s="48" t="n"/>
      <c r="N21" s="49" t="n"/>
      <c r="O21" s="51" t="n"/>
      <c r="P21" s="96" t="n"/>
      <c r="Q21" s="48" t="n"/>
      <c r="R21" s="49" t="n"/>
      <c r="S21" s="51" t="n"/>
      <c r="T21" s="47" t="n"/>
      <c r="U21" s="48" t="n"/>
      <c r="V21" s="49" t="n"/>
      <c r="W21" s="51" t="n"/>
      <c r="X21" s="82" t="n"/>
      <c r="Y21" s="48" t="n"/>
      <c r="Z21" s="49" t="n"/>
      <c r="AA21" s="51" t="n"/>
      <c r="AB21" s="47" t="n"/>
      <c r="AC21" s="48" t="n"/>
      <c r="AD21" s="49" t="n"/>
      <c r="AE21" s="51" t="n"/>
      <c r="AF21" s="82" t="n"/>
      <c r="AG21" s="48" t="n"/>
      <c r="AH21" s="49" t="n"/>
      <c r="AI21" s="51" t="n"/>
      <c r="AJ21" s="82" t="n"/>
      <c r="AK21" s="48" t="n"/>
      <c r="AL21" s="49" t="n"/>
      <c r="AM21" s="51" t="n"/>
      <c r="AN21" s="101" t="n"/>
      <c r="AO21" s="48" t="n"/>
      <c r="AP21" s="49" t="n"/>
      <c r="AQ21" s="51" t="n"/>
      <c r="AR21" s="47" t="n"/>
      <c r="AS21" s="48" t="n"/>
      <c r="AT21" s="49" t="n"/>
      <c r="AU21" s="51" t="n"/>
      <c r="AV21" s="47" t="n"/>
      <c r="AW21" s="48" t="n"/>
      <c r="AX21" s="49" t="n"/>
      <c r="AY21" s="50" t="n"/>
      <c r="AZ21" s="47" t="n"/>
      <c r="BA21" s="48" t="n"/>
      <c r="BB21" s="49" t="n"/>
      <c r="BC21" s="50" t="n"/>
      <c r="BD21" s="47" t="n"/>
      <c r="BE21" s="48" t="n"/>
      <c r="BF21" s="49" t="n"/>
      <c r="BG21" s="50" t="n"/>
      <c r="BH21" s="64" t="n"/>
      <c r="BI21" s="51">
        <f>+D21+H21+L21+P21+T21+X21+AB21+AF21+AJ21+AN21+AR21+AV21+AZ21+BD21</f>
        <v/>
      </c>
      <c r="BJ21" s="51">
        <f>+E21+I21+M21+Q21+U21+Y21+AC21+AG21+AK21+AO21+AS21+AW21+BA21+BE21</f>
        <v/>
      </c>
      <c r="BK21" s="51">
        <f>+F21+J21+N21+R21+V22+Z21+AD21+AH21+AL21+AP21+AT21+AX21+BB21+BF21</f>
        <v/>
      </c>
      <c r="BL21" s="51">
        <f>+G21+K21+O21+S21+W21+AA21+AE21+AI21+AM21+AQ21+AU21+AY21+BC21+BG21</f>
        <v/>
      </c>
      <c r="BM21" s="51">
        <f>+E21-F21+G21+I21-J21+K21+M21-N21+O21+Q21-R21+S21+U21-V22+W21+Y21-Z21+AA21+AC21-AD21+AE21</f>
        <v/>
      </c>
      <c r="BN21" s="51">
        <f>+AG21-AH21+AI21+AK21-AL21+AM21+AO21-AP21+AQ21+AS21-AT21+AU21+AW21-AX21+AY21+BA21-BB21+BC21+BE21-BF21+BG21</f>
        <v/>
      </c>
      <c r="BO21" s="51">
        <f>BJ21-BK21+BL21</f>
        <v/>
      </c>
      <c r="BP21" s="51">
        <f>IF((+BI21*0.08)&lt;BJ21,0,(+BI21*0.08)-BJ21)</f>
        <v/>
      </c>
      <c r="BQ21" s="85">
        <f>IF(BI21&lt;&gt;0,+BJ21/BI21,0)</f>
        <v/>
      </c>
      <c r="BR21" s="51" t="n"/>
      <c r="BS21" s="51" t="n"/>
      <c r="BT21" s="51" t="n"/>
      <c r="BU21" s="51" t="n"/>
      <c r="BV21" s="51" t="n"/>
      <c r="BW21" s="51" t="n"/>
      <c r="BX21" s="51" t="n"/>
      <c r="BY21" s="64" t="n"/>
    </row>
    <row r="22" ht="18" customFormat="1" customHeight="1" s="75">
      <c r="A22" s="52" t="n">
        <v>3796</v>
      </c>
      <c r="B22" s="53" t="inlineStr">
        <is>
          <t>Dupont Frederick</t>
        </is>
      </c>
      <c r="C22" s="55" t="n"/>
      <c r="D22" s="47" t="n"/>
      <c r="E22" s="48" t="n"/>
      <c r="F22" s="49" t="n"/>
      <c r="G22" s="50" t="n"/>
      <c r="H22" s="47" t="n"/>
      <c r="I22" s="48" t="n"/>
      <c r="J22" s="49" t="n"/>
      <c r="K22" s="51" t="n"/>
      <c r="L22" s="47" t="n"/>
      <c r="M22" s="48" t="n"/>
      <c r="N22" s="49" t="n"/>
      <c r="O22" s="51" t="n"/>
      <c r="P22" s="47" t="n"/>
      <c r="Q22" s="48" t="n"/>
      <c r="R22" s="49" t="n"/>
      <c r="S22" s="51" t="n"/>
      <c r="T22" s="47" t="n"/>
      <c r="U22" s="48" t="n"/>
      <c r="V22" s="49" t="n"/>
      <c r="W22" s="51" t="n"/>
      <c r="X22" s="82" t="n"/>
      <c r="Y22" s="48" t="n"/>
      <c r="Z22" s="49" t="n"/>
      <c r="AA22" s="51" t="n"/>
      <c r="AB22" s="47" t="n"/>
      <c r="AC22" s="48" t="n"/>
      <c r="AD22" s="49" t="n"/>
      <c r="AE22" s="51" t="n"/>
      <c r="AF22" s="82" t="n"/>
      <c r="AG22" s="48" t="n"/>
      <c r="AH22" s="49" t="n"/>
      <c r="AI22" s="51" t="n"/>
      <c r="AJ22" s="82" t="n"/>
      <c r="AK22" s="48" t="n"/>
      <c r="AL22" s="49" t="n"/>
      <c r="AM22" s="51" t="n"/>
      <c r="AN22" s="101" t="n"/>
      <c r="AO22" s="48" t="n"/>
      <c r="AP22" s="49" t="n"/>
      <c r="AQ22" s="51" t="n"/>
      <c r="AR22" s="47" t="n"/>
      <c r="AS22" s="48" t="n"/>
      <c r="AT22" s="49" t="n"/>
      <c r="AU22" s="51" t="n"/>
      <c r="AV22" s="47" t="n"/>
      <c r="AW22" s="48" t="n"/>
      <c r="AX22" s="49" t="n"/>
      <c r="AY22" s="50" t="n"/>
      <c r="AZ22" s="47" t="n"/>
      <c r="BA22" s="48" t="n"/>
      <c r="BB22" s="49" t="n"/>
      <c r="BC22" s="50" t="n"/>
      <c r="BD22" s="47" t="n"/>
      <c r="BE22" s="48" t="n"/>
      <c r="BF22" s="49" t="n"/>
      <c r="BG22" s="50" t="n"/>
      <c r="BH22" s="64" t="n"/>
      <c r="BI22" s="51">
        <f>+D22+H22+L22+P22+T22+X22+AB22+AF22+AJ22+AN22+AR22+AV22+AZ22+BD22</f>
        <v/>
      </c>
      <c r="BJ22" s="51">
        <f>+E22+I22+M22+Q22+U22+Y22+AC22+AG22+AK22+AO22+AS22+AW22+BA22+BE22</f>
        <v/>
      </c>
      <c r="BK22" s="51">
        <f>+F22+J22+N22+R22+V23+Z22+AD22+AH22+AL22+AP22+AT22+AX22+BB22+BF22</f>
        <v/>
      </c>
      <c r="BL22" s="51">
        <f>+G22+K22+O22+S22+W22+AA22+AE22+AI22+AM22+AQ22+AU22+AY22+BC22+BG22</f>
        <v/>
      </c>
      <c r="BM22" s="51">
        <f>+E22-F22+G22+I22-J22+K22+M22-N22+O22+Q22-R22+S22+U22-V23+W22+Y22-Z22+AA22+AC22-AD22+AE22</f>
        <v/>
      </c>
      <c r="BN22" s="51">
        <f>+AG22-AH22+AI22+AK22-AL22+AM22+AO22-AP22+AQ22+AS22-AT22+AU22+AW22-AX22+AY22+BA22-BB22+BC22+BE22-BF22+BG22</f>
        <v/>
      </c>
      <c r="BO22" s="51">
        <f>BJ22-BK22+BL22</f>
        <v/>
      </c>
      <c r="BP22" s="51">
        <f>IF((+BI22*0.08)&lt;BJ22,0,(+BI22*0.08)-BJ22)</f>
        <v/>
      </c>
      <c r="BQ22" s="85">
        <f>IF(BI22&lt;&gt;0,+BJ22/BI22,0)</f>
        <v/>
      </c>
      <c r="BR22" s="51" t="n"/>
      <c r="BS22" s="51" t="n"/>
      <c r="BT22" s="51" t="n"/>
      <c r="BU22" s="51" t="n"/>
      <c r="BV22" s="51" t="n"/>
      <c r="BW22" s="51" t="n"/>
      <c r="BX22" s="51" t="n"/>
      <c r="BY22" s="64" t="n"/>
    </row>
    <row r="23" ht="18" customFormat="1" customHeight="1" s="75">
      <c r="A23" s="52" t="n">
        <v>90333</v>
      </c>
      <c r="B23" s="53" t="inlineStr">
        <is>
          <t>Emond Pierre</t>
        </is>
      </c>
      <c r="C23" s="55" t="n"/>
      <c r="D23" s="47" t="n"/>
      <c r="E23" s="48" t="n"/>
      <c r="F23" s="49" t="n"/>
      <c r="G23" s="50" t="n"/>
      <c r="H23" s="47" t="n"/>
      <c r="I23" s="48" t="n"/>
      <c r="J23" s="49" t="n"/>
      <c r="K23" s="51" t="n"/>
      <c r="L23" s="47" t="n"/>
      <c r="M23" s="48" t="n"/>
      <c r="N23" s="49" t="n"/>
      <c r="O23" s="51" t="n"/>
      <c r="P23" s="47" t="n"/>
      <c r="Q23" s="48" t="n"/>
      <c r="R23" s="49" t="n"/>
      <c r="S23" s="51" t="n"/>
      <c r="T23" s="47" t="n"/>
      <c r="U23" s="48" t="n"/>
      <c r="V23" s="49" t="n"/>
      <c r="W23" s="51" t="n"/>
      <c r="X23" s="82" t="n"/>
      <c r="Y23" s="48" t="n"/>
      <c r="Z23" s="49" t="n"/>
      <c r="AA23" s="51" t="n"/>
      <c r="AB23" s="47" t="n"/>
      <c r="AC23" s="48" t="n"/>
      <c r="AD23" s="49" t="n"/>
      <c r="AE23" s="51" t="n"/>
      <c r="AF23" s="82" t="n"/>
      <c r="AG23" s="48" t="n"/>
      <c r="AH23" s="49" t="n"/>
      <c r="AI23" s="51" t="n"/>
      <c r="AJ23" s="82" t="n"/>
      <c r="AK23" s="48" t="n"/>
      <c r="AL23" s="49" t="n"/>
      <c r="AM23" s="51" t="n"/>
      <c r="AN23" s="101" t="n"/>
      <c r="AO23" s="48" t="n"/>
      <c r="AP23" s="49" t="n"/>
      <c r="AQ23" s="51" t="n"/>
      <c r="AR23" s="47" t="n"/>
      <c r="AS23" s="48" t="n"/>
      <c r="AT23" s="49" t="n"/>
      <c r="AU23" s="51" t="n"/>
      <c r="AV23" s="47" t="n"/>
      <c r="AW23" s="48" t="n"/>
      <c r="AX23" s="49" t="n"/>
      <c r="AY23" s="50" t="n"/>
      <c r="AZ23" s="47" t="n"/>
      <c r="BA23" s="48" t="n"/>
      <c r="BB23" s="49" t="n"/>
      <c r="BC23" s="50" t="n"/>
      <c r="BD23" s="47" t="n"/>
      <c r="BE23" s="48" t="n"/>
      <c r="BF23" s="49" t="n"/>
      <c r="BG23" s="50" t="n"/>
      <c r="BH23" s="64" t="n"/>
      <c r="BI23" s="51">
        <f>+D23+H23+L23+P23+T23+X23+AB23+AF23+AJ23+AN23+AR23+AV23+AZ23+BD23</f>
        <v/>
      </c>
      <c r="BJ23" s="51">
        <f>+E23+I23+M23+Q23+U23+Y23+AC23+AG23+AK23+AO23+AS23+AW23+BA23+BE23</f>
        <v/>
      </c>
      <c r="BK23" s="51">
        <f>+F23+J23+N23+R23+V24+Z23+AD23+AH23+AL23+AP23+AT23+AX23+BB23+BF23</f>
        <v/>
      </c>
      <c r="BL23" s="51">
        <f>+G23+K23+O23+S23+W23+AA23+AE23+AI23+AM23+AQ23+AU23+AY23+BC23+BG23</f>
        <v/>
      </c>
      <c r="BM23" s="51">
        <f>+E23-F23+G23+I23-J23+K23+M23-N23+O23+Q23-R23+S23+U23-V24+W23+Y23-Z23+AA23+AC23-AD23+AE23</f>
        <v/>
      </c>
      <c r="BN23" s="51">
        <f>+AG23-AH23+AI23+AK23-AL23+AM23+AO23-AP23+AQ23+AS23-AT23+AU23+AW23-AX23+AY23+BA23-BB23+BC23+BE23-BF23+BG23</f>
        <v/>
      </c>
      <c r="BO23" s="51">
        <f>BJ23-BK23+BL23</f>
        <v/>
      </c>
      <c r="BP23" s="51">
        <f>IF((+BI23*0.08)&lt;BJ23,0,(+BI23*0.08)-BJ23)</f>
        <v/>
      </c>
      <c r="BQ23" s="85">
        <f>IF(BI23&lt;&gt;0,+BJ23/BI23,0)</f>
        <v/>
      </c>
      <c r="BR23" s="51" t="n"/>
      <c r="BS23" s="51" t="n"/>
      <c r="BT23" s="51" t="n"/>
      <c r="BU23" s="51" t="n"/>
      <c r="BV23" s="51" t="n"/>
      <c r="BW23" s="51" t="n"/>
      <c r="BX23" s="51" t="n"/>
      <c r="BY23" s="64" t="n"/>
    </row>
    <row r="24" ht="18" customFormat="1" customHeight="1" s="75">
      <c r="A24" s="52" t="n">
        <v>5824</v>
      </c>
      <c r="B24" s="53" t="inlineStr">
        <is>
          <t>Faucher-Lavallee David</t>
        </is>
      </c>
      <c r="C24" s="55" t="n"/>
      <c r="D24" s="47" t="n"/>
      <c r="E24" s="48" t="n"/>
      <c r="F24" s="49" t="n"/>
      <c r="G24" s="50" t="n"/>
      <c r="H24" s="51" t="n"/>
      <c r="I24" s="48" t="n"/>
      <c r="J24" s="49" t="n"/>
      <c r="K24" s="51" t="n"/>
      <c r="L24" s="47" t="n"/>
      <c r="M24" s="48" t="n"/>
      <c r="N24" s="49" t="n"/>
      <c r="O24" s="51" t="n"/>
      <c r="P24" s="96" t="n"/>
      <c r="Q24" s="48" t="n"/>
      <c r="R24" s="49" t="n"/>
      <c r="S24" s="51" t="n"/>
      <c r="T24" s="47" t="n"/>
      <c r="U24" s="48" t="n"/>
      <c r="V24" s="49" t="n"/>
      <c r="W24" s="51" t="n"/>
      <c r="X24" s="111" t="n"/>
      <c r="Y24" s="48" t="n"/>
      <c r="Z24" s="49" t="n"/>
      <c r="AA24" s="51" t="n"/>
      <c r="AB24" s="47" t="n"/>
      <c r="AC24" s="48" t="n"/>
      <c r="AD24" s="49" t="n"/>
      <c r="AE24" s="51" t="n"/>
      <c r="AF24" s="82" t="n"/>
      <c r="AG24" s="48" t="n"/>
      <c r="AH24" s="49" t="n"/>
      <c r="AI24" s="51" t="n"/>
      <c r="AJ24" s="82" t="n"/>
      <c r="AK24" s="48" t="n"/>
      <c r="AL24" s="49" t="n"/>
      <c r="AM24" s="51" t="n"/>
      <c r="AN24" s="82" t="n"/>
      <c r="AO24" s="48" t="n"/>
      <c r="AP24" s="49" t="n"/>
      <c r="AQ24" s="51" t="n"/>
      <c r="AR24" s="47" t="n"/>
      <c r="AS24" s="48" t="n"/>
      <c r="AT24" s="49" t="n"/>
      <c r="AU24" s="51" t="n"/>
      <c r="AV24" s="47" t="n"/>
      <c r="AW24" s="48" t="n"/>
      <c r="AX24" s="49" t="n"/>
      <c r="AY24" s="50" t="n"/>
      <c r="AZ24" s="51" t="n"/>
      <c r="BA24" s="48" t="n"/>
      <c r="BB24" s="49" t="n"/>
      <c r="BC24" s="50" t="n"/>
      <c r="BD24" s="51" t="n"/>
      <c r="BE24" s="48" t="n"/>
      <c r="BF24" s="49" t="n"/>
      <c r="BG24" s="50" t="n"/>
      <c r="BH24" s="64" t="n"/>
      <c r="BI24" s="51">
        <f>+D24+H24+L24+P24+T24+X24+AB24+AF24+AJ24+AN24+AR24+AV24+AZ24+BD24</f>
        <v/>
      </c>
      <c r="BJ24" s="51">
        <f>+E24+I24+M24+Q24+U24+Y24+AC24+AG24+AK24+AO24+AS24+AW24+BA24+BE24</f>
        <v/>
      </c>
      <c r="BK24" s="51">
        <f>+F24+J24+N24+R24+V25+Z24+AD24+AH24+AL24+AP24+AT24+AX24+BB24+BF24</f>
        <v/>
      </c>
      <c r="BL24" s="51">
        <f>+G24+K24+O24+S24+W24+AA24+AE24+AI24+AM24+AQ24+AU24+AY24+BC24+BG24</f>
        <v/>
      </c>
      <c r="BM24" s="51">
        <f>+E24-F24+G24+I24-J24+K24+M24-N24+O24+Q24-R24+S24+U24-V25+W24+Y24-Z24+AA24+AC24-AD24+AE24</f>
        <v/>
      </c>
      <c r="BN24" s="51">
        <f>+AG24-AH24+AI24+AK24-AL24+AM24+AO24-AP24+AQ24+AS24-AT24+AU24+AW24-AX24+AY24+BA24-BB24+BC24+BE24-BF24+BG24</f>
        <v/>
      </c>
      <c r="BO24" s="51">
        <f>BJ24-BK24+BL24</f>
        <v/>
      </c>
      <c r="BP24" s="51">
        <f>IF((+BI24*0.08)&lt;BJ24,0,(+BI24*0.08)-BJ24)</f>
        <v/>
      </c>
      <c r="BQ24" s="85">
        <f>IF(BI24&lt;&gt;0,+BJ24/BI24,0)</f>
        <v/>
      </c>
      <c r="BR24" s="51" t="n"/>
      <c r="BS24" s="51" t="n"/>
      <c r="BT24" s="51" t="n"/>
      <c r="BU24" s="51" t="n"/>
      <c r="BV24" s="51" t="n"/>
      <c r="BW24" s="51" t="n"/>
      <c r="BX24" s="51" t="n"/>
      <c r="BY24" s="64" t="n"/>
    </row>
    <row r="25" ht="18" customFormat="1" customHeight="1" s="75">
      <c r="A25" s="52" t="n">
        <v>5734</v>
      </c>
      <c r="B25" s="53" t="inlineStr">
        <is>
          <t>Forget Caroline</t>
        </is>
      </c>
      <c r="C25" s="53" t="n"/>
      <c r="D25" s="47" t="n"/>
      <c r="E25" s="48" t="n"/>
      <c r="F25" s="49" t="n"/>
      <c r="G25" s="50" t="n"/>
      <c r="H25" s="47" t="n"/>
      <c r="I25" s="48" t="n"/>
      <c r="J25" s="49" t="n"/>
      <c r="K25" s="51" t="n"/>
      <c r="L25" s="47" t="n"/>
      <c r="M25" s="48" t="n"/>
      <c r="N25" s="49" t="n"/>
      <c r="O25" s="51" t="n"/>
      <c r="P25" s="47" t="n"/>
      <c r="Q25" s="48" t="n"/>
      <c r="R25" s="49" t="n"/>
      <c r="S25" s="51" t="n"/>
      <c r="T25" s="47" t="n"/>
      <c r="U25" s="48" t="n"/>
      <c r="V25" s="49" t="n"/>
      <c r="W25" s="51" t="n"/>
      <c r="X25" s="82" t="n"/>
      <c r="Y25" s="48" t="n"/>
      <c r="Z25" s="49" t="n"/>
      <c r="AA25" s="50" t="n"/>
      <c r="AB25" s="47" t="n"/>
      <c r="AC25" s="48" t="n"/>
      <c r="AD25" s="49" t="n"/>
      <c r="AE25" s="50" t="n"/>
      <c r="AF25" s="82" t="n"/>
      <c r="AG25" s="48" t="n"/>
      <c r="AH25" s="49" t="n"/>
      <c r="AI25" s="50" t="n"/>
      <c r="AJ25" s="82" t="n"/>
      <c r="AK25" s="48" t="n"/>
      <c r="AL25" s="49" t="n"/>
      <c r="AM25" s="51" t="n"/>
      <c r="AN25" s="101" t="n"/>
      <c r="AO25" s="48" t="n"/>
      <c r="AP25" s="49" t="n"/>
      <c r="AQ25" s="50" t="n"/>
      <c r="AR25" s="47" t="n"/>
      <c r="AS25" s="48" t="n"/>
      <c r="AT25" s="49" t="n"/>
      <c r="AU25" s="51" t="n"/>
      <c r="AV25" s="47" t="n"/>
      <c r="AW25" s="48" t="n"/>
      <c r="AX25" s="49" t="n"/>
      <c r="AY25" s="50" t="n"/>
      <c r="AZ25" s="51" t="n"/>
      <c r="BA25" s="48" t="n"/>
      <c r="BB25" s="49" t="n"/>
      <c r="BC25" s="50" t="n"/>
      <c r="BD25" s="51" t="n"/>
      <c r="BE25" s="48" t="n"/>
      <c r="BF25" s="49" t="n"/>
      <c r="BG25" s="50" t="n"/>
      <c r="BH25" s="64" t="n"/>
      <c r="BI25" s="51">
        <f>+D25+H25+L25+P25+T25+X25+AB25+AF25+AJ25+AN25+AR25+AV25+AZ25+BD25</f>
        <v/>
      </c>
      <c r="BJ25" s="51">
        <f>+E25+I25+M25+Q25+U25+Y25+AC25+AG25+AK25+AO25+AS25+AW25+BA25+BE25</f>
        <v/>
      </c>
      <c r="BK25" s="51">
        <f>+F25+J25+N25+R25+V26+Z25+AD25+AH25+AL25+AP25+AT25+AX25+BB25+BF25</f>
        <v/>
      </c>
      <c r="BL25" s="51">
        <f>+G25+K25+O25+S25+W25+AA25+AE25+AI25+AM25+AQ25+AU25+AY25+BC25+BG25</f>
        <v/>
      </c>
      <c r="BM25" s="51">
        <f>+E25-F25+G25+I25-J25+K25+M25-N25+O25+Q25-R25+S25+U25-V26+W25+Y25-Z25+AA25+AC25-AD25+AE25</f>
        <v/>
      </c>
      <c r="BN25" s="51">
        <f>+AG25-AH25+AI25+AK25-AL25+AM25+AO25-AP25+AQ25+AS25-AT25+AU25+AW25-AX25+AY25+BA25-BB25+BC25+BE25-BF25+BG25</f>
        <v/>
      </c>
      <c r="BO25" s="51">
        <f>BJ25-BK25+BL25</f>
        <v/>
      </c>
      <c r="BP25" s="51">
        <f>IF((+BI25*0.08)&lt;BJ25,0,(+BI25*0.08)-BJ25)</f>
        <v/>
      </c>
      <c r="BQ25" s="85">
        <f>IF(BI25&lt;&gt;0,+BJ25/BI25,0)</f>
        <v/>
      </c>
      <c r="BR25" s="64" t="n"/>
      <c r="BS25" s="64" t="n"/>
      <c r="BT25" s="64" t="n"/>
      <c r="BU25" s="64" t="n"/>
      <c r="BV25" s="64" t="n"/>
      <c r="BW25" s="64" t="n"/>
      <c r="BX25" s="64" t="n"/>
      <c r="BY25" s="64" t="n"/>
    </row>
    <row r="26" ht="17.25" customFormat="1" customHeight="1" s="75">
      <c r="A26" s="52" t="n">
        <v>5628</v>
      </c>
      <c r="B26" s="53" t="inlineStr">
        <is>
          <t>Giorgi david</t>
        </is>
      </c>
      <c r="C26" s="55" t="n"/>
      <c r="D26" s="47" t="n"/>
      <c r="E26" s="48" t="n"/>
      <c r="F26" s="49" t="n"/>
      <c r="G26" s="50" t="n"/>
      <c r="H26" s="47" t="n"/>
      <c r="I26" s="48" t="n"/>
      <c r="J26" s="49" t="n"/>
      <c r="K26" s="51" t="n"/>
      <c r="L26" s="47" t="n"/>
      <c r="M26" s="48" t="n"/>
      <c r="N26" s="49" t="n"/>
      <c r="O26" s="51" t="n"/>
      <c r="P26" s="47" t="n"/>
      <c r="Q26" s="48" t="n"/>
      <c r="R26" s="49" t="n"/>
      <c r="S26" s="51" t="n"/>
      <c r="T26" s="47" t="n"/>
      <c r="U26" s="48" t="n"/>
      <c r="V26" s="49" t="n"/>
      <c r="W26" s="51" t="n"/>
      <c r="X26" s="82" t="n"/>
      <c r="Y26" s="48" t="n"/>
      <c r="Z26" s="49" t="n"/>
      <c r="AA26" s="51" t="n"/>
      <c r="AB26" s="47" t="n"/>
      <c r="AC26" s="48" t="n"/>
      <c r="AD26" s="49" t="n"/>
      <c r="AE26" s="51" t="n"/>
      <c r="AF26" s="82" t="n"/>
      <c r="AG26" s="48" t="n"/>
      <c r="AH26" s="49" t="n"/>
      <c r="AI26" s="51" t="n"/>
      <c r="AJ26" s="82" t="n"/>
      <c r="AK26" s="48" t="n"/>
      <c r="AL26" s="49" t="n"/>
      <c r="AM26" s="51" t="n"/>
      <c r="AN26" s="101" t="n"/>
      <c r="AO26" s="48" t="n"/>
      <c r="AP26" s="49" t="n"/>
      <c r="AQ26" s="51" t="n"/>
      <c r="AR26" s="47" t="n"/>
      <c r="AS26" s="48" t="n"/>
      <c r="AT26" s="49" t="n"/>
      <c r="AU26" s="51" t="n"/>
      <c r="AV26" s="47" t="n"/>
      <c r="AW26" s="48" t="n"/>
      <c r="AX26" s="49" t="n"/>
      <c r="AY26" s="50" t="n"/>
      <c r="AZ26" s="47" t="n"/>
      <c r="BA26" s="48" t="n"/>
      <c r="BB26" s="49" t="n"/>
      <c r="BC26" s="50" t="n"/>
      <c r="BD26" s="47" t="n"/>
      <c r="BE26" s="48" t="n"/>
      <c r="BF26" s="49" t="n"/>
      <c r="BG26" s="50" t="n"/>
      <c r="BH26" s="64" t="n"/>
      <c r="BI26" s="51">
        <f>+D26+H26+L26+P26+T26+X26+AB26+AF26+AJ26+AN26+AR26+AV26+AZ26+BD26</f>
        <v/>
      </c>
      <c r="BJ26" s="51">
        <f>+E26+I26+M26+Q26+U26+Y26+AC26+AG26+AK26+AO26+AS26+AW26+BA26+BE26</f>
        <v/>
      </c>
      <c r="BK26" s="51">
        <f>+F26+J26+N26+R26+V27+Z26+AD26+AH26+AL26+AP26+AT26+AX26+BB26+BF26</f>
        <v/>
      </c>
      <c r="BL26" s="51">
        <f>+G26+K26+O26+S26+W26+AA26+AE26+AI26+AM26+AQ26+AU26+AY26+BC26+BG26</f>
        <v/>
      </c>
      <c r="BM26" s="51">
        <f>+E26-F26+G26+I26-J26+K26+M26-N26+O26+Q26-R26+S26+U26-V27+W26+Y26-Z26+AA26+AC26-AD26+AE26</f>
        <v/>
      </c>
      <c r="BN26" s="51">
        <f>+AG26-AH26+AI26+AK26-AL26+AM26+AO26-AP26+AQ26+AS26-AT26+AU26+AW26-AX26+AY26+BA26-BB26+BC26+BE26-BF26+BG26</f>
        <v/>
      </c>
      <c r="BO26" s="51">
        <f>BJ26-BK26+BL26</f>
        <v/>
      </c>
      <c r="BP26" s="51">
        <f>IF((+BI26*0.08)&lt;BJ26,0,(+BI26*0.08)-BJ26)</f>
        <v/>
      </c>
      <c r="BQ26" s="85">
        <f>IF(BI26&lt;&gt;0,+BJ26/BI26,0)</f>
        <v/>
      </c>
      <c r="BR26" s="51" t="n"/>
      <c r="BS26" s="51" t="n"/>
      <c r="BT26" s="51" t="n"/>
      <c r="BU26" s="51" t="n"/>
      <c r="BV26" s="51" t="n"/>
      <c r="BW26" s="51" t="n"/>
      <c r="BX26" s="51" t="n"/>
      <c r="BY26" s="64" t="n"/>
    </row>
    <row r="27" ht="18" customFormat="1" customHeight="1" s="75">
      <c r="A27" s="52" t="n">
        <v>5675</v>
      </c>
      <c r="B27" s="53" t="inlineStr">
        <is>
          <t>Gagnon Sabrina</t>
        </is>
      </c>
      <c r="C27" s="53" t="n"/>
      <c r="D27" s="47" t="n"/>
      <c r="E27" s="48" t="n"/>
      <c r="F27" s="49" t="n"/>
      <c r="G27" s="50" t="n"/>
      <c r="H27" s="51" t="n"/>
      <c r="I27" s="48" t="n"/>
      <c r="J27" s="49" t="n"/>
      <c r="K27" s="51" t="n"/>
      <c r="L27" s="47" t="n"/>
      <c r="M27" s="48" t="n"/>
      <c r="N27" s="49" t="n"/>
      <c r="O27" s="51" t="n"/>
      <c r="P27" s="47" t="n"/>
      <c r="Q27" s="48" t="n"/>
      <c r="R27" s="49" t="n"/>
      <c r="S27" s="51" t="n"/>
      <c r="T27" s="47" t="n"/>
      <c r="U27" s="48" t="n"/>
      <c r="V27" s="49" t="n"/>
      <c r="W27" s="51" t="n"/>
      <c r="X27" s="82" t="n"/>
      <c r="Y27" s="48" t="n"/>
      <c r="Z27" s="49" t="n"/>
      <c r="AA27" s="50" t="n"/>
      <c r="AB27" s="47" t="n"/>
      <c r="AC27" s="48" t="n"/>
      <c r="AD27" s="49" t="n"/>
      <c r="AE27" s="50" t="n"/>
      <c r="AF27" s="82" t="n"/>
      <c r="AG27" s="48" t="n"/>
      <c r="AH27" s="49" t="n"/>
      <c r="AI27" s="50" t="n"/>
      <c r="AJ27" s="82" t="n"/>
      <c r="AK27" s="48" t="n"/>
      <c r="AL27" s="49" t="n"/>
      <c r="AM27" s="51" t="n"/>
      <c r="AN27" s="101" t="n"/>
      <c r="AO27" s="48" t="n"/>
      <c r="AP27" s="49" t="n"/>
      <c r="AQ27" s="50" t="n"/>
      <c r="AR27" s="47" t="n"/>
      <c r="AS27" s="65" t="n"/>
      <c r="AT27" s="49" t="n"/>
      <c r="AU27" s="51" t="n"/>
      <c r="AV27" s="47" t="n"/>
      <c r="AW27" s="48" t="n"/>
      <c r="AX27" s="49" t="n"/>
      <c r="AY27" s="50" t="n"/>
      <c r="AZ27" s="51" t="n"/>
      <c r="BA27" s="48" t="n"/>
      <c r="BB27" s="49" t="n"/>
      <c r="BC27" s="50" t="n"/>
      <c r="BD27" s="51" t="n"/>
      <c r="BE27" s="48" t="n"/>
      <c r="BF27" s="49" t="n"/>
      <c r="BG27" s="50" t="n"/>
      <c r="BH27" s="64" t="n"/>
      <c r="BI27" s="51">
        <f>+D27+H27+L27+P27+T27+X27+AB27+AF27+AJ27+AN27+AR27+AV27+AZ27+BD27</f>
        <v/>
      </c>
      <c r="BJ27" s="51">
        <f>+E27+I27+M27+Q27+U27+Y27+AC27+AG27+AK27+AO27+AS27+AW27+BA27+BE27</f>
        <v/>
      </c>
      <c r="BK27" s="51">
        <f>+F27+J27+N27+R27+V28+Z27+AD27+AH27+AL27+AP27+AT27+AX27+BB27+BF27</f>
        <v/>
      </c>
      <c r="BL27" s="51">
        <f>+G27+K27+O27+S27+W27+AA27+AE27+AI27+AM27+AQ27+AU27+AY27+BC27+BG27</f>
        <v/>
      </c>
      <c r="BM27" s="51">
        <f>+E27-F27+G27+I27-J27+K27+M27-N27+O27+Q27-R27+S27+U27-V28+W27+Y27-Z27+AA27+AC27-AD27+AE27</f>
        <v/>
      </c>
      <c r="BN27" s="51">
        <f>+AG27-AH27+AI27+AK27-AL27+AM27+AO27-AP27+AQ27+AS27-AT27+AU27+AW27-AX27+AY27+BA27-BB27+BC27+BE27-BF27+BG27</f>
        <v/>
      </c>
      <c r="BO27" s="51">
        <f>BJ27-BK27+BL27</f>
        <v/>
      </c>
      <c r="BP27" s="51">
        <f>IF((+BI27*0.08)&lt;BJ27,0,(+BI27*0.08)-BJ27)</f>
        <v/>
      </c>
      <c r="BQ27" s="85">
        <f>IF(BI27&lt;&gt;0,+BJ27/BI27,0)</f>
        <v/>
      </c>
      <c r="BR27" s="64" t="n"/>
      <c r="BS27" s="64" t="n"/>
      <c r="BT27" s="64" t="n"/>
      <c r="BU27" s="64" t="n"/>
      <c r="BV27" s="64" t="n"/>
      <c r="BW27" s="64" t="n"/>
      <c r="BX27" s="64" t="n"/>
      <c r="BY27" s="64" t="n"/>
    </row>
    <row r="28" ht="18" customFormat="1" customHeight="1" s="75">
      <c r="A28" s="52" t="n">
        <v>5893</v>
      </c>
      <c r="B28" s="53" t="inlineStr">
        <is>
          <t>Gallego Camila Maria</t>
        </is>
      </c>
      <c r="C28" s="55" t="n"/>
      <c r="D28" s="51" t="n"/>
      <c r="E28" s="48" t="n"/>
      <c r="F28" s="49" t="n"/>
      <c r="G28" s="50" t="n"/>
      <c r="H28" s="51" t="n"/>
      <c r="I28" s="48" t="n"/>
      <c r="J28" s="49" t="n"/>
      <c r="K28" s="51" t="n"/>
      <c r="L28" s="47" t="n"/>
      <c r="M28" s="48" t="n"/>
      <c r="N28" s="49" t="n"/>
      <c r="O28" s="51" t="n"/>
      <c r="P28" s="47" t="n"/>
      <c r="Q28" s="48" t="n"/>
      <c r="R28" s="49" t="n"/>
      <c r="S28" s="51" t="n"/>
      <c r="T28" s="47" t="n"/>
      <c r="U28" s="48" t="n"/>
      <c r="V28" s="49" t="n"/>
      <c r="W28" s="51" t="n"/>
      <c r="X28" s="82" t="n"/>
      <c r="Y28" s="48" t="n"/>
      <c r="Z28" s="49" t="n"/>
      <c r="AA28" s="50" t="n"/>
      <c r="AB28" s="47" t="n"/>
      <c r="AC28" s="48" t="n"/>
      <c r="AD28" s="49" t="n"/>
      <c r="AE28" s="51" t="n"/>
      <c r="AF28" s="82" t="n"/>
      <c r="AG28" s="48" t="n"/>
      <c r="AH28" s="49" t="n"/>
      <c r="AI28" s="51" t="n"/>
      <c r="AJ28" s="82" t="n"/>
      <c r="AK28" s="48" t="n"/>
      <c r="AL28" s="49" t="n"/>
      <c r="AM28" s="51" t="n"/>
      <c r="AN28" s="101" t="n"/>
      <c r="AO28" s="48" t="n"/>
      <c r="AP28" s="49" t="n"/>
      <c r="AQ28" s="51" t="n"/>
      <c r="AR28" s="47" t="n"/>
      <c r="AS28" s="48" t="n"/>
      <c r="AT28" s="49" t="n"/>
      <c r="AU28" s="51" t="n"/>
      <c r="AV28" s="47" t="n"/>
      <c r="AW28" s="48" t="n"/>
      <c r="AX28" s="49" t="n"/>
      <c r="AY28" s="50" t="n"/>
      <c r="AZ28" s="51" t="n"/>
      <c r="BA28" s="48" t="n"/>
      <c r="BB28" s="49" t="n"/>
      <c r="BC28" s="50" t="n"/>
      <c r="BD28" s="51" t="n"/>
      <c r="BE28" s="48" t="n"/>
      <c r="BF28" s="49" t="n"/>
      <c r="BG28" s="50" t="n"/>
      <c r="BH28" s="64" t="n"/>
      <c r="BI28" s="51">
        <f>+D28+H28+L28+P28+T28+X28+AB28+AF28+AJ28+AN28+AR28+AV28+AZ28+BD28</f>
        <v/>
      </c>
      <c r="BJ28" s="51">
        <f>+E28+I28+M28+Q28+U28+Y28+AC28+AG28+AK28+AO28+AS28+AW28+BA28+BE28</f>
        <v/>
      </c>
      <c r="BK28" s="51">
        <f>+F28+J28+N28+R28+V29+Z28+AD28+AH28+AL28+AP28+AT28+AX28+BB28+BF28</f>
        <v/>
      </c>
      <c r="BL28" s="51">
        <f>+G28+K28+O28+S28+W28+AA28+AE28+AI28+AM28+AQ28+AU28+AY28+BC28+BG28</f>
        <v/>
      </c>
      <c r="BM28" s="51">
        <f>+E28-F28+G28+I28-J28+K28+M28-N28+O28+Q28-R28+S28+U28-V29+W28+Y28-Z28+AA28+AC28-AD28+AE28</f>
        <v/>
      </c>
      <c r="BN28" s="51">
        <f>+AG28-AH28+AI28+AK28-AL28+AM28+AO28-AP28+AQ28+AS28-AT28+AU28+AW28-AX28+AY28+BA28-BB28+BC28+BE28-BF28+BG28</f>
        <v/>
      </c>
      <c r="BO28" s="51">
        <f>BJ28-BK28+BL28</f>
        <v/>
      </c>
      <c r="BP28" s="51">
        <f>IF((+BI28*0.08)&lt;BJ28,0,(+BI28*0.08)-BJ28)</f>
        <v/>
      </c>
      <c r="BQ28" s="85">
        <f>IF(BI28&lt;&gt;0,+BJ28/BI28,0)</f>
        <v/>
      </c>
      <c r="BR28" s="64" t="n"/>
      <c r="BS28" s="64" t="n"/>
      <c r="BT28" s="64" t="n"/>
      <c r="BU28" s="64" t="n"/>
      <c r="BV28" s="64" t="n"/>
      <c r="BW28" s="64" t="n"/>
      <c r="BX28" s="64" t="n"/>
      <c r="BY28" s="64" t="n"/>
    </row>
    <row r="29" ht="18" customFormat="1" customHeight="1" s="75">
      <c r="A29" s="52" t="n">
        <v>93127</v>
      </c>
      <c r="B29" s="53" t="inlineStr">
        <is>
          <t>George Youri</t>
        </is>
      </c>
      <c r="C29" s="87" t="n"/>
      <c r="D29" s="47" t="n"/>
      <c r="E29" s="48" t="n"/>
      <c r="F29" s="49" t="n"/>
      <c r="G29" s="50" t="n"/>
      <c r="H29" s="47" t="n"/>
      <c r="I29" s="48" t="n"/>
      <c r="J29" s="49" t="n"/>
      <c r="K29" s="51" t="n"/>
      <c r="L29" s="47" t="n"/>
      <c r="M29" s="48" t="n"/>
      <c r="N29" s="49" t="n"/>
      <c r="O29" s="51" t="n"/>
      <c r="P29" s="47" t="n"/>
      <c r="Q29" s="48" t="n"/>
      <c r="R29" s="49" t="n"/>
      <c r="S29" s="51" t="n"/>
      <c r="T29" s="47" t="n"/>
      <c r="U29" s="48" t="n"/>
      <c r="V29" s="49" t="n"/>
      <c r="W29" s="51" t="n"/>
      <c r="X29" s="82" t="n"/>
      <c r="Y29" s="48" t="n"/>
      <c r="Z29" s="49" t="n"/>
      <c r="AA29" s="51" t="n"/>
      <c r="AB29" s="47" t="n"/>
      <c r="AC29" s="48" t="n"/>
      <c r="AD29" s="49" t="n"/>
      <c r="AE29" s="51" t="n"/>
      <c r="AF29" s="82" t="n"/>
      <c r="AG29" s="48" t="n"/>
      <c r="AH29" s="49" t="n"/>
      <c r="AI29" s="51" t="n"/>
      <c r="AJ29" s="82" t="n"/>
      <c r="AK29" s="48" t="n"/>
      <c r="AL29" s="49" t="n"/>
      <c r="AM29" s="51" t="n"/>
      <c r="AN29" s="101" t="n"/>
      <c r="AO29" s="48" t="n"/>
      <c r="AP29" s="49" t="n"/>
      <c r="AQ29" s="51" t="n"/>
      <c r="AR29" s="47" t="n"/>
      <c r="AS29" s="48" t="n"/>
      <c r="AT29" s="49" t="n"/>
      <c r="AU29" s="51" t="n"/>
      <c r="AV29" s="47" t="n"/>
      <c r="AW29" s="48" t="n"/>
      <c r="AX29" s="49" t="n"/>
      <c r="AY29" s="50" t="n"/>
      <c r="AZ29" s="47" t="n"/>
      <c r="BA29" s="48" t="n"/>
      <c r="BB29" s="49" t="n"/>
      <c r="BC29" s="50" t="n"/>
      <c r="BD29" s="47" t="n"/>
      <c r="BE29" s="48" t="n"/>
      <c r="BF29" s="49" t="n"/>
      <c r="BG29" s="50" t="n"/>
      <c r="BH29" s="64" t="n"/>
      <c r="BI29" s="51">
        <f>+D29+H29+L29+P29+T29+X29+AB29+AF29+AJ29+AN29+AR29+AV29+AZ29+BD29</f>
        <v/>
      </c>
      <c r="BJ29" s="51">
        <f>+E29+I29+M29+Q29+U29+Y29+AC29+AG29+AK29+AO29+AS29+AW29+BA29+BE29</f>
        <v/>
      </c>
      <c r="BK29" s="51">
        <f>+F29+J29+N29+R29+V30+Z29+AD29+AH29+AL29+AP29+AT29+AX29+BB29+BF29</f>
        <v/>
      </c>
      <c r="BL29" s="51">
        <f>+G29+K29+O29+S29+W29+AA29+AE29+AI29+AM29+AQ29+AU29+AY29+BC29+BG29</f>
        <v/>
      </c>
      <c r="BM29" s="51">
        <f>+E29-F29+G29+I29-J29+K29+M29-N29+O29+Q29-R29+S29+U29-V30+W29+Y29-Z29+AA29+AC29-AD29+AE29</f>
        <v/>
      </c>
      <c r="BN29" s="51">
        <f>+AG29-AH29+AI29+AK29-AL29+AM29+AO29-AP29+AQ29+AS29-AT29+AU29+AW29-AX29+AY29+BA29-BB29+BC29+BE29-BF29+BG29</f>
        <v/>
      </c>
      <c r="BO29" s="51">
        <f>BJ29-BK29+BL29</f>
        <v/>
      </c>
      <c r="BP29" s="51">
        <f>IF((+BI29*0.08)&lt;BJ29,0,(+BI29*0.08)-BJ29)</f>
        <v/>
      </c>
      <c r="BQ29" s="85">
        <f>IF(BI29&lt;&gt;0,+BJ29/BI29,0)</f>
        <v/>
      </c>
      <c r="BR29" s="51" t="n"/>
      <c r="BS29" s="51" t="n"/>
      <c r="BT29" s="51" t="n"/>
      <c r="BU29" s="51" t="n"/>
      <c r="BV29" s="51" t="n"/>
      <c r="BW29" s="51" t="n"/>
      <c r="BX29" s="51" t="n"/>
      <c r="BY29" s="64" t="n"/>
    </row>
    <row r="30" ht="18" customFormat="1" customHeight="1" s="75">
      <c r="A30" s="52" t="n">
        <v>5895</v>
      </c>
      <c r="B30" s="57" t="inlineStr">
        <is>
          <t>Grenon Chloe</t>
        </is>
      </c>
      <c r="C30" s="55" t="n"/>
      <c r="D30" s="47" t="n"/>
      <c r="E30" s="48" t="n"/>
      <c r="F30" s="49" t="n"/>
      <c r="G30" s="50" t="n"/>
      <c r="H30" s="51" t="n"/>
      <c r="I30" s="48" t="n"/>
      <c r="J30" s="49" t="n"/>
      <c r="K30" s="51" t="n"/>
      <c r="L30" s="47" t="n"/>
      <c r="M30" s="48" t="n"/>
      <c r="N30" s="49" t="n"/>
      <c r="O30" s="51" t="n"/>
      <c r="P30" s="47" t="n"/>
      <c r="Q30" s="48" t="n"/>
      <c r="R30" s="49" t="n"/>
      <c r="S30" s="51" t="n"/>
      <c r="T30" s="47" t="n"/>
      <c r="U30" s="48" t="n"/>
      <c r="V30" s="49" t="n"/>
      <c r="W30" s="51" t="n"/>
      <c r="X30" s="82" t="n"/>
      <c r="Y30" s="48" t="n"/>
      <c r="Z30" s="49" t="n"/>
      <c r="AA30" s="50" t="n"/>
      <c r="AB30" s="47" t="n"/>
      <c r="AC30" s="48" t="n"/>
      <c r="AD30" s="49" t="n"/>
      <c r="AE30" s="50" t="n"/>
      <c r="AF30" s="82" t="n"/>
      <c r="AG30" s="48" t="n"/>
      <c r="AH30" s="49" t="n"/>
      <c r="AI30" s="50" t="n"/>
      <c r="AJ30" s="82" t="n"/>
      <c r="AK30" s="48" t="n"/>
      <c r="AL30" s="49" t="n"/>
      <c r="AM30" s="51" t="n"/>
      <c r="AN30" s="101" t="n"/>
      <c r="AO30" s="48" t="n"/>
      <c r="AP30" s="49" t="n"/>
      <c r="AQ30" s="50" t="n"/>
      <c r="AR30" s="47" t="n"/>
      <c r="AS30" s="48" t="n"/>
      <c r="AT30" s="49" t="n"/>
      <c r="AU30" s="51" t="n"/>
      <c r="AV30" s="47" t="n"/>
      <c r="AW30" s="48" t="n"/>
      <c r="AX30" s="49" t="n"/>
      <c r="AY30" s="50" t="n"/>
      <c r="AZ30" s="51" t="n"/>
      <c r="BA30" s="48" t="n"/>
      <c r="BB30" s="49" t="n"/>
      <c r="BC30" s="50" t="n"/>
      <c r="BD30" s="51" t="n"/>
      <c r="BE30" s="48" t="n"/>
      <c r="BF30" s="49" t="n"/>
      <c r="BG30" s="50" t="n"/>
      <c r="BH30" s="64" t="n"/>
      <c r="BI30" s="51">
        <f>+D30+H30+L30+P30+T30+X30+AB30+AF30+AJ30+AN30+AR30+AV30+AZ30+BD30</f>
        <v/>
      </c>
      <c r="BJ30" s="51">
        <f>+E30+I30+M30+Q30+U30+Y30+AC30+AG30+AK30+AO30+AS30+AW30+BA30+BE30</f>
        <v/>
      </c>
      <c r="BK30" s="51">
        <f>+F30+J30+N30+R30+V31+Z30+AD30+AH30+AL30+AP30+AT30+AX30+BB30+BF30</f>
        <v/>
      </c>
      <c r="BL30" s="51">
        <f>+G30+K30+O30+S30+W30+AA30+AE30+AI30+AM30+AQ30+AU30+AY30+BC30+BG30</f>
        <v/>
      </c>
      <c r="BM30" s="51">
        <f>+E30-F30+G30+I30-J30+K30+M30-N30+O30+Q30-R30+S30+U30-V31+W30+Y30-Z30+AA30+AC30-AD30+AE30</f>
        <v/>
      </c>
      <c r="BN30" s="51">
        <f>+AG30-AH30+AI30+AK30-AL30+AM30+AO30-AP30+AQ30+AS30-AT30+AU30+AW30-AX30+AY30+BA30-BB30+BC30+BE30-BF30+BG30</f>
        <v/>
      </c>
      <c r="BO30" s="51">
        <f>BJ30-BK30+BL30</f>
        <v/>
      </c>
      <c r="BP30" s="51">
        <f>IF((+BI30*0.08)&lt;BJ30,0,(+BI30*0.08)-BJ30)</f>
        <v/>
      </c>
      <c r="BQ30" s="85">
        <f>IF(BI30&lt;&gt;0,+BJ30/BI30,0)</f>
        <v/>
      </c>
      <c r="BR30" s="64" t="n"/>
      <c r="BS30" s="64" t="n"/>
      <c r="BT30" s="64" t="n"/>
      <c r="BU30" s="64" t="n"/>
      <c r="BV30" s="64" t="n"/>
      <c r="BW30" s="64" t="n"/>
      <c r="BX30" s="64" t="n"/>
      <c r="BY30" s="64" t="n"/>
    </row>
    <row r="31" ht="18" customFormat="1" customHeight="1" s="75">
      <c r="A31" s="52" t="n">
        <v>93606</v>
      </c>
      <c r="B31" s="53" t="inlineStr">
        <is>
          <t>Guerin Valerie</t>
        </is>
      </c>
      <c r="C31" s="55" t="n"/>
      <c r="D31" s="47" t="n"/>
      <c r="E31" s="48" t="n"/>
      <c r="F31" s="49" t="n"/>
      <c r="G31" s="50" t="n"/>
      <c r="H31" s="47" t="n"/>
      <c r="I31" s="48" t="n"/>
      <c r="J31" s="49" t="n"/>
      <c r="K31" s="51" t="n"/>
      <c r="L31" s="47" t="n"/>
      <c r="M31" s="48" t="n"/>
      <c r="N31" s="49" t="n"/>
      <c r="O31" s="51" t="n"/>
      <c r="P31" s="47" t="n"/>
      <c r="Q31" s="48" t="n"/>
      <c r="R31" s="49" t="n"/>
      <c r="S31" s="51" t="n"/>
      <c r="T31" s="47" t="n"/>
      <c r="U31" s="48" t="n"/>
      <c r="V31" s="49" t="n"/>
      <c r="W31" s="51" t="n"/>
      <c r="X31" s="82" t="n"/>
      <c r="Y31" s="48" t="n"/>
      <c r="Z31" s="49" t="n"/>
      <c r="AA31" s="51" t="n"/>
      <c r="AB31" s="47" t="n"/>
      <c r="AC31" s="48" t="n"/>
      <c r="AD31" s="49" t="n"/>
      <c r="AE31" s="51" t="n"/>
      <c r="AF31" s="82" t="n"/>
      <c r="AG31" s="48" t="n"/>
      <c r="AH31" s="49" t="n"/>
      <c r="AI31" s="51" t="n"/>
      <c r="AJ31" s="82" t="n"/>
      <c r="AK31" s="48" t="n"/>
      <c r="AL31" s="49" t="n"/>
      <c r="AM31" s="51" t="n"/>
      <c r="AN31" s="101" t="n"/>
      <c r="AO31" s="48" t="n"/>
      <c r="AP31" s="49" t="n"/>
      <c r="AQ31" s="51" t="n"/>
      <c r="AR31" s="47" t="n"/>
      <c r="AS31" s="48" t="n"/>
      <c r="AT31" s="49" t="n"/>
      <c r="AU31" s="51" t="n"/>
      <c r="AV31" s="47" t="n"/>
      <c r="AW31" s="48" t="n"/>
      <c r="AX31" s="49" t="n"/>
      <c r="AY31" s="50" t="n"/>
      <c r="AZ31" s="47" t="n"/>
      <c r="BA31" s="48" t="n"/>
      <c r="BB31" s="49" t="n"/>
      <c r="BC31" s="50" t="n"/>
      <c r="BD31" s="47" t="n"/>
      <c r="BE31" s="48" t="n"/>
      <c r="BF31" s="49" t="n"/>
      <c r="BG31" s="50" t="n"/>
      <c r="BH31" s="64" t="n"/>
      <c r="BI31" s="51">
        <f>+D31+H31+L31+P31+T31+X31+AB31+AF31+AJ31+AN31+AR31+AV31+AZ31+BD31</f>
        <v/>
      </c>
      <c r="BJ31" s="51">
        <f>+E31+I31+M31+Q31+U31+Y31+AC31+AG31+AK31+AO31+AS31+AW31+BA31+BE31</f>
        <v/>
      </c>
      <c r="BK31" s="51">
        <f>+F31+J31+N31+R31+V32+Z31+AD31+AH31+AL31+AP31+AT31+AX31+BB31+BF31</f>
        <v/>
      </c>
      <c r="BL31" s="51">
        <f>+G31+K31+O31+S31+W31+AA31+AE31+AI31+AM31+AQ31+AU31+AY31+BC31+BG31</f>
        <v/>
      </c>
      <c r="BM31" s="51">
        <f>+E31-F31+G31+I31-J31+K31+M31-N31+O31+Q31-R31+S31+U31-V32+W31+Y31-Z31+AA31+AC31-AD31+AE31</f>
        <v/>
      </c>
      <c r="BN31" s="51">
        <f>+AG31-AH31+AI31+AK31-AL31+AM31+AO31-AP31+AQ31+AS31-AT31+AU31+AW31-AX31+AY31+BA31-BB31+BC31+BE31-BF31+BG31</f>
        <v/>
      </c>
      <c r="BO31" s="51">
        <f>BJ31-BK31+BL31</f>
        <v/>
      </c>
      <c r="BP31" s="51">
        <f>IF((+BI31*0.08)&lt;BJ31,0,(+BI31*0.08)-BJ31)</f>
        <v/>
      </c>
      <c r="BQ31" s="85">
        <f>IF(BI31&lt;&gt;0,+BJ31/BI31,0)</f>
        <v/>
      </c>
      <c r="BR31" s="51" t="n"/>
      <c r="BS31" s="51" t="n"/>
      <c r="BT31" s="51" t="n"/>
      <c r="BU31" s="51" t="n"/>
      <c r="BV31" s="51" t="n"/>
      <c r="BW31" s="51" t="n"/>
      <c r="BX31" s="51" t="n"/>
      <c r="BY31" s="64" t="n"/>
    </row>
    <row r="32" ht="18" customFormat="1" customHeight="1" s="75">
      <c r="A32" s="52" t="n">
        <v>92908</v>
      </c>
      <c r="B32" s="53" t="inlineStr">
        <is>
          <t>Hammond Kelly-Ann</t>
        </is>
      </c>
      <c r="C32" s="55" t="n"/>
      <c r="D32" s="47" t="n"/>
      <c r="E32" s="48" t="n"/>
      <c r="F32" s="51" t="n"/>
      <c r="G32" s="50" t="n"/>
      <c r="H32" s="47" t="n"/>
      <c r="I32" s="48" t="n"/>
      <c r="J32" s="49" t="n"/>
      <c r="K32" s="51" t="n"/>
      <c r="L32" s="47" t="n"/>
      <c r="M32" s="48" t="n"/>
      <c r="N32" s="49" t="n"/>
      <c r="O32" s="51" t="n"/>
      <c r="P32" s="47" t="n"/>
      <c r="Q32" s="48" t="n"/>
      <c r="R32" s="49" t="n"/>
      <c r="S32" s="51" t="n"/>
      <c r="T32" s="47" t="n"/>
      <c r="U32" s="48" t="n"/>
      <c r="V32" s="49" t="n"/>
      <c r="W32" s="51" t="n"/>
      <c r="X32" s="82" t="n"/>
      <c r="Y32" s="48" t="n"/>
      <c r="Z32" s="49" t="n"/>
      <c r="AA32" s="51" t="n"/>
      <c r="AB32" s="47" t="n"/>
      <c r="AC32" s="48" t="n"/>
      <c r="AD32" s="49" t="n"/>
      <c r="AE32" s="51" t="n"/>
      <c r="AF32" s="82" t="n"/>
      <c r="AG32" s="48" t="n"/>
      <c r="AH32" s="49" t="n"/>
      <c r="AI32" s="51" t="n"/>
      <c r="AJ32" s="82" t="n"/>
      <c r="AK32" s="48" t="n"/>
      <c r="AL32" s="49" t="n"/>
      <c r="AM32" s="51" t="n"/>
      <c r="AN32" s="101" t="n"/>
      <c r="AO32" s="48" t="n"/>
      <c r="AP32" s="49" t="n"/>
      <c r="AQ32" s="50" t="n"/>
      <c r="AR32" s="47" t="n"/>
      <c r="AS32" s="48" t="n"/>
      <c r="AT32" s="51" t="n"/>
      <c r="AU32" s="51" t="n"/>
      <c r="AV32" s="47" t="n"/>
      <c r="AW32" s="48" t="n"/>
      <c r="AX32" s="49" t="n"/>
      <c r="AY32" s="50" t="n"/>
      <c r="AZ32" s="47" t="n"/>
      <c r="BA32" s="48" t="n"/>
      <c r="BB32" s="49" t="n"/>
      <c r="BC32" s="50" t="n"/>
      <c r="BD32" s="47" t="n"/>
      <c r="BE32" s="98" t="n"/>
      <c r="BF32" s="51" t="n"/>
      <c r="BG32" s="50" t="n"/>
      <c r="BH32" s="64" t="n"/>
      <c r="BI32" s="51">
        <f>+D32+H32+L32+P32+T32+X32+AB32+AF32+AJ32+AN32+AR32+AV32+AZ32+BD32</f>
        <v/>
      </c>
      <c r="BJ32" s="51">
        <f>+E32+I32+M32+Q32+U32+Y32+AC32+AG32+AK32+AO32+AS32+AW32+BA32+BE32</f>
        <v/>
      </c>
      <c r="BK32" s="51">
        <f>+F32+J32+N32+R32+V33+Z32+AD32+AH32+AL32+AP32+AT32+AX32+BB32+BF32</f>
        <v/>
      </c>
      <c r="BL32" s="51">
        <f>+G32+K32+O32+S32+W32+AA32+AE32+AI32+AM32+AQ32+AU32+AY32+BC32+BG32</f>
        <v/>
      </c>
      <c r="BM32" s="51">
        <f>+E32-F32+G32+I32-J32+K32+M32-N32+O32+Q32-R32+S32+U32-V33+W32+Y32-Z32+AA32+AC32-AD32+AE32</f>
        <v/>
      </c>
      <c r="BN32" s="51">
        <f>+AG32-AH32+AI32+AK32-AL32+AM32+AO32-AP32+AQ32+AS32-AT32+AU32+AW32-AX32+AY32+BA32-BB32+BC32+BE32-BF32+BG32</f>
        <v/>
      </c>
      <c r="BO32" s="51">
        <f>BJ32-BK32+BL32</f>
        <v/>
      </c>
      <c r="BP32" s="51">
        <f>IF((+BI32*0.08)&lt;BJ32,0,(+BI32*0.08)-BJ32)</f>
        <v/>
      </c>
      <c r="BQ32" s="85">
        <f>IF(BI32&lt;&gt;0,+BJ32/BI32,0)</f>
        <v/>
      </c>
      <c r="BR32" s="51" t="n"/>
      <c r="BS32" s="51" t="n"/>
      <c r="BT32" s="51" t="n"/>
      <c r="BU32" s="51" t="n"/>
      <c r="BV32" s="51" t="n"/>
      <c r="BW32" s="51" t="n"/>
      <c r="BX32" s="51" t="n"/>
      <c r="BY32" s="64" t="n"/>
    </row>
    <row r="33" ht="18" customFormat="1" customHeight="1" s="75">
      <c r="A33" s="52" t="n">
        <v>4100</v>
      </c>
      <c r="B33" s="53" t="inlineStr">
        <is>
          <t>Jacques Ylan Michel</t>
        </is>
      </c>
      <c r="C33" s="55" t="n"/>
      <c r="D33" s="47" t="n"/>
      <c r="E33" s="48" t="n"/>
      <c r="F33" s="49" t="n"/>
      <c r="G33" s="50" t="n"/>
      <c r="H33" s="47" t="n"/>
      <c r="I33" s="48" t="n"/>
      <c r="J33" s="49" t="n"/>
      <c r="K33" s="51" t="n"/>
      <c r="L33" s="47" t="n"/>
      <c r="M33" s="48" t="n"/>
      <c r="N33" s="49" t="n"/>
      <c r="O33" s="51" t="n"/>
      <c r="P33" s="96" t="n"/>
      <c r="Q33" s="48" t="n"/>
      <c r="R33" s="49" t="n"/>
      <c r="S33" s="51" t="n"/>
      <c r="T33" s="47" t="n"/>
      <c r="U33" s="48" t="n"/>
      <c r="V33" s="49" t="n"/>
      <c r="W33" s="51" t="n"/>
      <c r="X33" s="82" t="n"/>
      <c r="Y33" s="48" t="n"/>
      <c r="Z33" s="49" t="n"/>
      <c r="AA33" s="51" t="n"/>
      <c r="AB33" s="47" t="n"/>
      <c r="AC33" s="48" t="n"/>
      <c r="AD33" s="49" t="n"/>
      <c r="AE33" s="51" t="n"/>
      <c r="AF33" s="82" t="n"/>
      <c r="AG33" s="48" t="n"/>
      <c r="AH33" s="49" t="n"/>
      <c r="AI33" s="51" t="n"/>
      <c r="AJ33" s="82" t="n"/>
      <c r="AK33" s="48" t="n"/>
      <c r="AL33" s="49" t="n"/>
      <c r="AM33" s="51" t="n"/>
      <c r="AN33" s="101" t="n"/>
      <c r="AO33" s="48" t="n"/>
      <c r="AP33" s="49" t="n"/>
      <c r="AQ33" s="51" t="n"/>
      <c r="AR33" s="47" t="n"/>
      <c r="AS33" s="48" t="n"/>
      <c r="AT33" s="49" t="n"/>
      <c r="AU33" s="51" t="n"/>
      <c r="AV33" s="47" t="n"/>
      <c r="AW33" s="48" t="n"/>
      <c r="AX33" s="49" t="n"/>
      <c r="AY33" s="50" t="n"/>
      <c r="AZ33" s="47" t="n"/>
      <c r="BA33" s="48" t="n"/>
      <c r="BB33" s="49" t="n"/>
      <c r="BC33" s="50" t="n"/>
      <c r="BD33" s="47" t="n"/>
      <c r="BE33" s="48" t="n"/>
      <c r="BF33" s="49" t="n"/>
      <c r="BG33" s="50" t="n"/>
      <c r="BH33" s="64" t="n"/>
      <c r="BI33" s="51">
        <f>+D33+H33+L33+P33+T33+X33+AB33+AF33+AJ33+AN33+AR33+AV33+AZ33+BD33</f>
        <v/>
      </c>
      <c r="BJ33" s="51">
        <f>+E33+I33+M33+Q33+U33+Y33+AC33+AG33+AK33+AO33+AS33+AW33+BA33+BE33</f>
        <v/>
      </c>
      <c r="BK33" s="51">
        <f>+F33+J33+N33+R33+V34+Z33+AD33+AH33+AL33+AP33+AT33+AX33+BB33+BF33</f>
        <v/>
      </c>
      <c r="BL33" s="51">
        <f>+G33+K33+O33+S33+W33+AA33+AE33+AI33+AM33+AQ33+AU33+AY33+BC33+BG33</f>
        <v/>
      </c>
      <c r="BM33" s="51">
        <f>+E33-F33+G33+I33-J33+K33+M33-N33+O33+Q33-R33+S33+U33-V34+W33+Y33-Z33+AA33+AC33-AD33+AE33</f>
        <v/>
      </c>
      <c r="BN33" s="51">
        <f>+AG33-AH33+AI33+AK33-AL33+AM33+AO33-AP33+AQ33+AS33-AT33+AU33+AW33-AX33+AY33+BA33-BB33+BC33+BE33-BF33+BG33</f>
        <v/>
      </c>
      <c r="BO33" s="51">
        <f>BJ33-BK33+BL33</f>
        <v/>
      </c>
      <c r="BP33" s="51">
        <f>IF((+BI33*0.08)&lt;BJ33,0,(+BI33*0.08)-BJ33)</f>
        <v/>
      </c>
      <c r="BQ33" s="85">
        <f>IF(BI33&lt;&gt;0,+BJ33/BI33,0)</f>
        <v/>
      </c>
      <c r="BR33" s="51" t="n"/>
      <c r="BS33" s="51" t="n"/>
      <c r="BT33" s="51" t="n"/>
      <c r="BU33" s="51" t="n"/>
      <c r="BV33" s="51" t="n"/>
      <c r="BW33" s="51" t="n"/>
      <c r="BX33" s="51" t="n"/>
      <c r="BY33" s="64" t="n"/>
    </row>
    <row r="34" ht="18" customFormat="1" customHeight="1" s="75">
      <c r="A34" s="52" t="n">
        <v>5131</v>
      </c>
      <c r="B34" s="53" t="inlineStr">
        <is>
          <t>Katsenis Spiro</t>
        </is>
      </c>
      <c r="C34" s="55" t="n"/>
      <c r="D34" s="47" t="n"/>
      <c r="E34" s="48" t="n"/>
      <c r="F34" s="49" t="n"/>
      <c r="G34" s="50" t="n"/>
      <c r="H34" s="51" t="n"/>
      <c r="I34" s="48" t="n"/>
      <c r="J34" s="49" t="n"/>
      <c r="K34" s="51" t="n"/>
      <c r="L34" s="47" t="n"/>
      <c r="M34" s="48" t="n"/>
      <c r="N34" s="49" t="n"/>
      <c r="O34" s="51" t="n"/>
      <c r="P34" s="47" t="n"/>
      <c r="Q34" s="48" t="n"/>
      <c r="R34" s="49" t="n"/>
      <c r="S34" s="51" t="n"/>
      <c r="T34" s="47" t="n"/>
      <c r="U34" s="48" t="n"/>
      <c r="V34" s="49" t="n"/>
      <c r="W34" s="51" t="n"/>
      <c r="X34" s="82" t="n"/>
      <c r="Y34" s="48" t="n"/>
      <c r="Z34" s="49" t="n"/>
      <c r="AA34" s="51" t="n"/>
      <c r="AB34" s="47" t="n"/>
      <c r="AC34" s="48" t="n"/>
      <c r="AD34" s="49" t="n"/>
      <c r="AE34" s="51" t="n"/>
      <c r="AF34" s="82" t="n"/>
      <c r="AG34" s="48" t="n"/>
      <c r="AH34" s="49" t="n"/>
      <c r="AI34" s="51" t="n"/>
      <c r="AJ34" s="82" t="n"/>
      <c r="AK34" s="48" t="n"/>
      <c r="AL34" s="49" t="n"/>
      <c r="AM34" s="51" t="n"/>
      <c r="AN34" s="82" t="n"/>
      <c r="AO34" s="48" t="n"/>
      <c r="AP34" s="49" t="n"/>
      <c r="AQ34" s="51" t="n"/>
      <c r="AR34" s="47" t="n"/>
      <c r="AS34" s="48" t="n"/>
      <c r="AT34" s="49" t="n"/>
      <c r="AU34" s="51" t="n"/>
      <c r="AV34" s="47" t="n"/>
      <c r="AW34" s="48" t="n"/>
      <c r="AX34" s="49" t="n"/>
      <c r="AY34" s="50" t="n"/>
      <c r="AZ34" s="51" t="n"/>
      <c r="BA34" s="48" t="n"/>
      <c r="BB34" s="49" t="n"/>
      <c r="BC34" s="50" t="n"/>
      <c r="BD34" s="47" t="n"/>
      <c r="BE34" s="48" t="n"/>
      <c r="BF34" s="49" t="n"/>
      <c r="BG34" s="50" t="n"/>
      <c r="BH34" s="64" t="n"/>
      <c r="BI34" s="51">
        <f>+D34+H34+L34+P34+T34+X34+AB34+AF34+AJ34+AN34+AR34+AV34+AZ34+BD34</f>
        <v/>
      </c>
      <c r="BJ34" s="51">
        <f>+E34+I34+M34+Q34+U34+Y34+AC34+AG34+AK34+AO34+AS34+AW34+BA34+BE34</f>
        <v/>
      </c>
      <c r="BK34" s="51">
        <f>+F34+J34+N34+R34+V35+Z34+AD34+AH34+AL34+AP34+AT34+AX34+BB34+BF34</f>
        <v/>
      </c>
      <c r="BL34" s="51">
        <f>+G34+K34+O34+S34+W34+AA34+AE34+AI34+AM34+AQ34+AU34+AY34+BC34+BG34</f>
        <v/>
      </c>
      <c r="BM34" s="51">
        <f>+E34-F34+G34+I34-J34+K34+M34-N34+O34+Q34-R34+S34+U34-V35+W34+Y34-Z34+AA34+AC34-AD34+AE34</f>
        <v/>
      </c>
      <c r="BN34" s="51">
        <f>+AG34-AH34+AI34+AK34-AL34+AM34+AO34-AP34+AQ34+AS34-AT34+AU34+AW34-AX34+AY34+BA34-BB34+BC34+BE34-BF34+BG34</f>
        <v/>
      </c>
      <c r="BO34" s="51">
        <f>BJ34-BK34+BL34</f>
        <v/>
      </c>
      <c r="BP34" s="51">
        <f>IF((+BI34*0.08)&lt;BJ34,0,(+BI34*0.08)-BJ34)</f>
        <v/>
      </c>
      <c r="BQ34" s="85">
        <f>IF(BI34&lt;&gt;0,+BJ34/BI34,0)</f>
        <v/>
      </c>
      <c r="BR34" s="51" t="n"/>
      <c r="BS34" s="51" t="n"/>
      <c r="BT34" s="51" t="n"/>
      <c r="BU34" s="51" t="n"/>
      <c r="BV34" s="51" t="n"/>
      <c r="BW34" s="51" t="n"/>
      <c r="BX34" s="51" t="n"/>
      <c r="BY34" s="64" t="n"/>
    </row>
    <row r="35" ht="18" customFormat="1" customHeight="1" s="75">
      <c r="A35" s="52" t="n">
        <v>92484</v>
      </c>
      <c r="B35" s="53" t="inlineStr">
        <is>
          <t>Latulippe Stephane</t>
        </is>
      </c>
      <c r="C35" s="55" t="n"/>
      <c r="D35" s="47" t="n"/>
      <c r="E35" s="48" t="n"/>
      <c r="F35" s="49" t="n"/>
      <c r="G35" s="50" t="n"/>
      <c r="H35" s="47" t="n"/>
      <c r="I35" s="48" t="n"/>
      <c r="J35" s="49" t="n"/>
      <c r="K35" s="51" t="n"/>
      <c r="L35" s="47" t="n"/>
      <c r="M35" s="48" t="n"/>
      <c r="N35" s="49" t="n"/>
      <c r="O35" s="51" t="n"/>
      <c r="P35" s="47" t="n"/>
      <c r="Q35" s="48" t="n"/>
      <c r="R35" s="49" t="n"/>
      <c r="S35" s="51" t="n"/>
      <c r="T35" s="47" t="n"/>
      <c r="U35" s="48" t="n"/>
      <c r="V35" s="49" t="n"/>
      <c r="W35" s="51" t="n"/>
      <c r="X35" s="82" t="n"/>
      <c r="Y35" s="48" t="n"/>
      <c r="Z35" s="49" t="n"/>
      <c r="AA35" s="51" t="n"/>
      <c r="AB35" s="47" t="n"/>
      <c r="AC35" s="48" t="n"/>
      <c r="AD35" s="49" t="n"/>
      <c r="AE35" s="51" t="n"/>
      <c r="AF35" s="82" t="n"/>
      <c r="AG35" s="48" t="n"/>
      <c r="AH35" s="49" t="n"/>
      <c r="AI35" s="51" t="n"/>
      <c r="AJ35" s="82" t="n"/>
      <c r="AK35" s="48" t="n"/>
      <c r="AL35" s="49" t="n"/>
      <c r="AM35" s="51" t="n"/>
      <c r="AN35" s="101" t="n"/>
      <c r="AO35" s="48" t="n"/>
      <c r="AP35" s="49" t="n"/>
      <c r="AQ35" s="51" t="n"/>
      <c r="AR35" s="47" t="n"/>
      <c r="AS35" s="48" t="n"/>
      <c r="AT35" s="49" t="n"/>
      <c r="AU35" s="51" t="n"/>
      <c r="AV35" s="47" t="n"/>
      <c r="AW35" s="48" t="n"/>
      <c r="AX35" s="49" t="n"/>
      <c r="AY35" s="50" t="n"/>
      <c r="AZ35" s="47" t="n"/>
      <c r="BA35" s="48" t="n"/>
      <c r="BB35" s="49" t="n"/>
      <c r="BC35" s="50" t="n"/>
      <c r="BD35" s="47" t="n"/>
      <c r="BE35" s="48" t="n"/>
      <c r="BF35" s="49" t="n"/>
      <c r="BG35" s="50" t="n"/>
      <c r="BH35" s="64" t="n"/>
      <c r="BI35" s="51">
        <f>+D35+H35+L35+P35+T35+X35+AB35+AF35+AJ35+AN35+AR35+AV35+AZ35+BD35</f>
        <v/>
      </c>
      <c r="BJ35" s="51">
        <f>+E35+I35+M35+Q35+U35+Y35+AC35+AG35+AK35+AO35+AS35+AW35+BA35+BE35</f>
        <v/>
      </c>
      <c r="BK35" s="51">
        <f>+F35+J35+N35+R35+V36+Z35+AD35+AH35+AL35+AP35+AT35+AX35+BB35+BF35</f>
        <v/>
      </c>
      <c r="BL35" s="51">
        <f>+G35+K35+O35+S35+W35+AA35+AE35+AI35+AM35+AQ35+AU35+AY35+BC35+BG35</f>
        <v/>
      </c>
      <c r="BM35" s="51">
        <f>+E35-F35+G35+I35-J35+K35+M35-N35+O35+Q35-R35+S35+U35-V36+W35+Y35-Z35+AA35+AC35-AD35+AE35</f>
        <v/>
      </c>
      <c r="BN35" s="51">
        <f>+AG35-AH35+AI35+AK35-AL35+AM35+AO35-AP35+AQ35+AS35-AT35+AU35+AW35-AX35+AY35+BA35-BB35+BC35+BE35-BF35+BG35</f>
        <v/>
      </c>
      <c r="BO35" s="51">
        <f>BJ35-BK35+BL35</f>
        <v/>
      </c>
      <c r="BP35" s="51">
        <f>IF((+BI35*0.08)&lt;BJ35,0,(+BI35*0.08)-BJ35)</f>
        <v/>
      </c>
      <c r="BQ35" s="85">
        <f>IF(BI35&lt;&gt;0,+BJ35/BI35,0)</f>
        <v/>
      </c>
      <c r="BR35" s="51" t="n"/>
      <c r="BS35" s="51" t="n"/>
      <c r="BT35" s="51" t="n"/>
      <c r="BU35" s="51" t="n"/>
      <c r="BV35" s="51" t="n"/>
      <c r="BW35" s="51" t="n"/>
      <c r="BX35" s="51" t="n"/>
      <c r="BY35" s="64" t="n"/>
    </row>
    <row r="36" ht="18" customFormat="1" customHeight="1" s="75">
      <c r="A36" s="52" t="n">
        <v>5534</v>
      </c>
      <c r="B36" s="53" t="inlineStr">
        <is>
          <t>Labreche emilie</t>
        </is>
      </c>
      <c r="C36" s="55" t="n"/>
      <c r="D36" s="47" t="n"/>
      <c r="E36" s="48" t="n"/>
      <c r="F36" s="49" t="n"/>
      <c r="G36" s="50" t="n"/>
      <c r="H36" s="47" t="n"/>
      <c r="I36" s="48" t="n"/>
      <c r="J36" s="49" t="n"/>
      <c r="K36" s="51" t="n"/>
      <c r="L36" s="47" t="n"/>
      <c r="M36" s="48" t="n"/>
      <c r="N36" s="49" t="n"/>
      <c r="O36" s="51" t="n"/>
      <c r="P36" s="47" t="n"/>
      <c r="Q36" s="48" t="n"/>
      <c r="R36" s="49" t="n"/>
      <c r="S36" s="51" t="n"/>
      <c r="T36" s="47" t="n"/>
      <c r="U36" s="48" t="n"/>
      <c r="V36" s="49" t="n"/>
      <c r="W36" s="51" t="n"/>
      <c r="X36" s="82" t="n"/>
      <c r="Y36" s="48" t="n"/>
      <c r="Z36" s="49" t="n"/>
      <c r="AA36" s="51" t="n"/>
      <c r="AB36" s="47" t="n"/>
      <c r="AC36" s="48" t="n"/>
      <c r="AD36" s="49" t="n"/>
      <c r="AE36" s="51" t="n"/>
      <c r="AF36" s="82" t="n"/>
      <c r="AG36" s="48" t="n"/>
      <c r="AH36" s="49" t="n"/>
      <c r="AI36" s="51" t="n"/>
      <c r="AJ36" s="82" t="n"/>
      <c r="AK36" s="48" t="n"/>
      <c r="AL36" s="49" t="n"/>
      <c r="AM36" s="51" t="n"/>
      <c r="AN36" s="101" t="n"/>
      <c r="AO36" s="48" t="n"/>
      <c r="AP36" s="49" t="n"/>
      <c r="AQ36" s="51" t="n"/>
      <c r="AR36" s="47" t="n"/>
      <c r="AS36" s="48" t="n"/>
      <c r="AT36" s="49" t="n"/>
      <c r="AU36" s="51" t="n"/>
      <c r="AV36" s="47" t="n"/>
      <c r="AW36" s="48" t="n"/>
      <c r="AX36" s="49" t="n"/>
      <c r="AY36" s="50" t="n"/>
      <c r="AZ36" s="47" t="n"/>
      <c r="BA36" s="48" t="n"/>
      <c r="BB36" s="49" t="n"/>
      <c r="BC36" s="50" t="n"/>
      <c r="BD36" s="47" t="n"/>
      <c r="BE36" s="48" t="n"/>
      <c r="BF36" s="49" t="n"/>
      <c r="BG36" s="50" t="n"/>
      <c r="BH36" s="64" t="n"/>
      <c r="BI36" s="51">
        <f>+D36+H36+L36+P36+T36+X36+AB36+AF36+AJ36+AN36+AR36+AV36+AZ36+BD36</f>
        <v/>
      </c>
      <c r="BJ36" s="51">
        <f>+E36+I36+M36+Q36+U36+Y36+AC36+AG36+AK36+AO36+AS36+AW36+BA36+BE36</f>
        <v/>
      </c>
      <c r="BK36" s="51">
        <f>+F36+J36+N36+R36+V37+Z36+AD36+AH36+AL36+AP36+AT36+AX36+BB36+BF36</f>
        <v/>
      </c>
      <c r="BL36" s="51">
        <f>+G36+K36+O36+S36+W36+AA36+AE36+AI36+AM36+AQ36+AU36+AY36+BC36+BG36</f>
        <v/>
      </c>
      <c r="BM36" s="51">
        <f>+E36-F36+G36+I36-J36+K36+M36-N36+O36+Q36-R36+S36+U36-V37+W36+Y36-Z36+AA36+AC36-AD36+AE36</f>
        <v/>
      </c>
      <c r="BN36" s="51">
        <f>+AG36-AH36+AI36+AK36-AL36+AM36+AO36-AP36+AQ36+AS36-AT36+AU36+AW36-AX36+AY36+BA36-BB36+BC36+BE36-BF36+BG36</f>
        <v/>
      </c>
      <c r="BO36" s="51">
        <f>BJ36-BK36+BL36</f>
        <v/>
      </c>
      <c r="BP36" s="51">
        <f>IF((+BI36*0.08)&lt;BJ36,0,(+BI36*0.08)-BJ36)</f>
        <v/>
      </c>
      <c r="BQ36" s="85">
        <f>IF(BI36&lt;&gt;0,+BJ36/BI36,0)</f>
        <v/>
      </c>
      <c r="BR36" s="51" t="n"/>
      <c r="BS36" s="51" t="n"/>
      <c r="BT36" s="51" t="n"/>
      <c r="BU36" s="51" t="n"/>
      <c r="BV36" s="51" t="n"/>
      <c r="BW36" s="51" t="n"/>
      <c r="BX36" s="51" t="n"/>
      <c r="BY36" s="64" t="n"/>
    </row>
    <row r="37" ht="18" customFormat="1" customHeight="1" s="75">
      <c r="A37" s="52" t="n">
        <v>5812</v>
      </c>
      <c r="B37" s="53" t="inlineStr">
        <is>
          <t>Leclair Isabelle</t>
        </is>
      </c>
      <c r="C37" s="53" t="n"/>
      <c r="D37" s="47" t="n"/>
      <c r="E37" s="48" t="n"/>
      <c r="F37" s="49" t="n"/>
      <c r="G37" s="50" t="n"/>
      <c r="H37" s="47" t="n"/>
      <c r="I37" s="48" t="n"/>
      <c r="J37" s="49" t="n"/>
      <c r="K37" s="51" t="n"/>
      <c r="L37" s="47" t="n"/>
      <c r="M37" s="48" t="n"/>
      <c r="N37" s="49" t="n"/>
      <c r="O37" s="51" t="n"/>
      <c r="P37" s="47" t="n"/>
      <c r="Q37" s="48" t="n"/>
      <c r="R37" s="49" t="n"/>
      <c r="S37" s="51" t="n"/>
      <c r="T37" s="47" t="n"/>
      <c r="U37" s="48" t="n"/>
      <c r="V37" s="49" t="n"/>
      <c r="W37" s="50" t="n"/>
      <c r="X37" s="82" t="n"/>
      <c r="Y37" s="48" t="n"/>
      <c r="Z37" s="49" t="n"/>
      <c r="AA37" s="50" t="n"/>
      <c r="AB37" s="47" t="n"/>
      <c r="AC37" s="48" t="n"/>
      <c r="AD37" s="49" t="n"/>
      <c r="AE37" s="50" t="n"/>
      <c r="AF37" s="82" t="n"/>
      <c r="AG37" s="48" t="n"/>
      <c r="AH37" s="49" t="n"/>
      <c r="AI37" s="50" t="n"/>
      <c r="AJ37" s="82" t="n"/>
      <c r="AK37" s="48" t="n"/>
      <c r="AL37" s="49" t="n"/>
      <c r="AM37" s="50" t="n"/>
      <c r="AN37" s="101" t="n"/>
      <c r="AO37" s="48" t="n"/>
      <c r="AP37" s="49" t="n"/>
      <c r="AQ37" s="50" t="n"/>
      <c r="AR37" s="47" t="n"/>
      <c r="AS37" s="48" t="n"/>
      <c r="AT37" s="49" t="n"/>
      <c r="AU37" s="51" t="n"/>
      <c r="AV37" s="47" t="n"/>
      <c r="AW37" s="48" t="n"/>
      <c r="AX37" s="49" t="n"/>
      <c r="AY37" s="50" t="n"/>
      <c r="AZ37" s="51" t="n"/>
      <c r="BA37" s="48" t="n"/>
      <c r="BB37" s="49" t="n"/>
      <c r="BC37" s="50" t="n"/>
      <c r="BD37" s="51" t="n"/>
      <c r="BE37" s="48" t="n"/>
      <c r="BF37" s="49" t="n"/>
      <c r="BG37" s="50" t="n"/>
      <c r="BH37" s="64" t="n"/>
      <c r="BI37" s="51">
        <f>+D37+H37+L37+P37+T37+X37+AB37+AF37+AJ37+AN37+AR37+AV37+AZ37+BD37</f>
        <v/>
      </c>
      <c r="BJ37" s="51">
        <f>+E37+I37+M37+Q37+U37+Y37+AC37+AG37+AK37+AO37+AS37+AW37+BA37+BE37</f>
        <v/>
      </c>
      <c r="BK37" s="51">
        <f>+F37+J37+N37+R37+V38+Z37+AD37+AH37+AL37+AP37+AT37+AX37+BB37+BF37</f>
        <v/>
      </c>
      <c r="BL37" s="51">
        <f>+G37+K37+O37+S37+W37+AA37+AE37+AI37+AM37+AQ37+AU37+AY37+BC37+BG37</f>
        <v/>
      </c>
      <c r="BM37" s="51">
        <f>+E37-F37+G37+I37-J37+K37+M37-N37+O37+Q37-R37+S37+U37-V38+W37+Y37-Z37+AA37+AC37-AD37+AE37</f>
        <v/>
      </c>
      <c r="BN37" s="51">
        <f>+AG37-AH37+AI37+AK37-AL37+AM37+AO37-AP37+AQ37+AS37-AT37+AU37+AW37-AX37+AY37+BA37-BB37+BC37+BE37-BF37+BG37</f>
        <v/>
      </c>
      <c r="BO37" s="51">
        <f>BJ37-BK37+BL37</f>
        <v/>
      </c>
      <c r="BP37" s="51">
        <f>IF((+BI37*0.08)&lt;BJ37,0,(+BI37*0.08)-BJ37)</f>
        <v/>
      </c>
      <c r="BQ37" s="85">
        <f>IF(BI37&lt;&gt;0,+BJ37/BI37,0)</f>
        <v/>
      </c>
      <c r="BR37" s="64" t="n"/>
      <c r="BS37" s="64" t="n"/>
      <c r="BT37" s="64" t="n"/>
      <c r="BU37" s="64" t="n"/>
      <c r="BV37" s="64" t="n"/>
      <c r="BW37" s="64" t="n"/>
      <c r="BX37" s="64" t="n"/>
      <c r="BY37" s="64" t="n"/>
    </row>
    <row r="38" ht="18" customFormat="1" customHeight="1" s="75">
      <c r="A38" s="52" t="n">
        <v>4101</v>
      </c>
      <c r="B38" s="53" t="inlineStr">
        <is>
          <t>Leclerc Karl</t>
        </is>
      </c>
      <c r="C38" s="55" t="n"/>
      <c r="D38" s="47" t="n"/>
      <c r="E38" s="48" t="n"/>
      <c r="F38" s="49" t="n"/>
      <c r="G38" s="50" t="n"/>
      <c r="H38" s="47" t="n"/>
      <c r="I38" s="48" t="n"/>
      <c r="J38" s="49" t="n"/>
      <c r="K38" s="51" t="n"/>
      <c r="L38" s="47" t="n"/>
      <c r="M38" s="48" t="n"/>
      <c r="N38" s="49" t="n"/>
      <c r="O38" s="51" t="n"/>
      <c r="P38" s="47" t="n"/>
      <c r="Q38" s="48" t="n"/>
      <c r="R38" s="49" t="n"/>
      <c r="S38" s="51" t="n"/>
      <c r="T38" s="47" t="n"/>
      <c r="U38" s="48" t="n"/>
      <c r="V38" s="49" t="n"/>
      <c r="W38" s="51" t="n"/>
      <c r="X38" s="82" t="n"/>
      <c r="Y38" s="48" t="n"/>
      <c r="Z38" s="49" t="n"/>
      <c r="AA38" s="51" t="n"/>
      <c r="AB38" s="47" t="n"/>
      <c r="AC38" s="48" t="n"/>
      <c r="AD38" s="49" t="n"/>
      <c r="AE38" s="51" t="n"/>
      <c r="AF38" s="82" t="n"/>
      <c r="AG38" s="48" t="n"/>
      <c r="AH38" s="49" t="n"/>
      <c r="AI38" s="51" t="n"/>
      <c r="AJ38" s="82" t="n"/>
      <c r="AK38" s="48" t="n"/>
      <c r="AL38" s="49" t="n"/>
      <c r="AM38" s="51" t="n"/>
      <c r="AN38" s="101" t="n"/>
      <c r="AO38" s="48" t="n"/>
      <c r="AP38" s="49" t="n"/>
      <c r="AQ38" s="51" t="n"/>
      <c r="AR38" s="47" t="n"/>
      <c r="AS38" s="48" t="n"/>
      <c r="AT38" s="49" t="n"/>
      <c r="AU38" s="51" t="n"/>
      <c r="AV38" s="47" t="n"/>
      <c r="AW38" s="48" t="n"/>
      <c r="AX38" s="49" t="n"/>
      <c r="AY38" s="50" t="n"/>
      <c r="AZ38" s="47" t="n"/>
      <c r="BA38" s="48" t="n"/>
      <c r="BB38" s="49" t="n"/>
      <c r="BC38" s="50" t="n"/>
      <c r="BD38" s="47" t="n"/>
      <c r="BE38" s="48" t="n"/>
      <c r="BF38" s="49" t="n"/>
      <c r="BG38" s="50" t="n"/>
      <c r="BH38" s="64" t="n"/>
      <c r="BI38" s="51">
        <f>+D38+H38+L38+P38+T38+X38+AB38+AF38+AJ38+AN38+AR38+AV38+AZ38+BD38</f>
        <v/>
      </c>
      <c r="BJ38" s="51">
        <f>+E38+I38+M38+Q38+U38+Y38+AC38+AG38+AK38+AO38+AS38+AW38+BA38+BE38</f>
        <v/>
      </c>
      <c r="BK38" s="51">
        <f>+F38+J38+N38+R38+V39+Z38+AD38+AH38+AL38+AP38+AT38+AX38+BB38+BF38</f>
        <v/>
      </c>
      <c r="BL38" s="51">
        <f>+G38+K38+O38+S38+W38+AA38+AE38+AI38+AM38+AQ38+AU38+AY38+BC38+BG38</f>
        <v/>
      </c>
      <c r="BM38" s="51">
        <f>+E38-F38+G38+I38-J38+K38+M38-N38+O38+Q38-R38+S38+U38-V39+W38+Y38-Z38+AA38+AC38-AD38+AE38</f>
        <v/>
      </c>
      <c r="BN38" s="51">
        <f>+AG38-AH38+AI38+AK38-AL38+AM38+AO38-AP38+AQ38+AS38-AT38+AU38+AW38-AX38+AY38+BA38-BB38+BC38+BE38-BF38+BG38</f>
        <v/>
      </c>
      <c r="BO38" s="51">
        <f>BJ38-BK38+BL38</f>
        <v/>
      </c>
      <c r="BP38" s="51">
        <f>IF((+BI38*0.08)&lt;BJ38,0,(+BI38*0.08)-BJ38)</f>
        <v/>
      </c>
      <c r="BQ38" s="85">
        <f>IF(BI38&lt;&gt;0,+BJ38/BI38,0)</f>
        <v/>
      </c>
      <c r="BR38" s="51" t="n"/>
      <c r="BS38" s="51" t="n"/>
      <c r="BT38" s="51" t="n"/>
      <c r="BU38" s="51" t="n"/>
      <c r="BV38" s="51" t="n"/>
      <c r="BW38" s="51" t="n"/>
      <c r="BX38" s="51" t="n"/>
      <c r="BY38" s="64" t="n"/>
    </row>
    <row r="39" ht="18" customFormat="1" customHeight="1" s="75">
      <c r="A39" s="52" t="n">
        <v>4600</v>
      </c>
      <c r="B39" s="53" t="inlineStr">
        <is>
          <t>Lefebvre Martin</t>
        </is>
      </c>
      <c r="C39" s="55" t="n"/>
      <c r="D39" s="47" t="n"/>
      <c r="E39" s="48" t="n"/>
      <c r="F39" s="49" t="n"/>
      <c r="G39" s="50" t="n"/>
      <c r="H39" s="47" t="n"/>
      <c r="I39" s="48" t="n"/>
      <c r="J39" s="49" t="n"/>
      <c r="K39" s="51" t="n"/>
      <c r="L39" s="47" t="n"/>
      <c r="M39" s="48" t="n"/>
      <c r="N39" s="49" t="n"/>
      <c r="O39" s="51" t="n"/>
      <c r="P39" s="96" t="n"/>
      <c r="Q39" s="48" t="n"/>
      <c r="R39" s="49" t="n"/>
      <c r="S39" s="51" t="n"/>
      <c r="T39" s="47" t="n"/>
      <c r="U39" s="48" t="n"/>
      <c r="V39" s="49" t="n"/>
      <c r="W39" s="51" t="n"/>
      <c r="X39" s="82" t="n"/>
      <c r="Y39" s="48" t="n"/>
      <c r="Z39" s="49" t="n"/>
      <c r="AA39" s="51" t="n"/>
      <c r="AB39" s="47" t="n"/>
      <c r="AC39" s="48" t="n"/>
      <c r="AD39" s="49" t="n"/>
      <c r="AE39" s="51" t="n"/>
      <c r="AF39" s="82" t="n"/>
      <c r="AG39" s="48" t="n"/>
      <c r="AH39" s="49" t="n"/>
      <c r="AI39" s="51" t="n"/>
      <c r="AJ39" s="82" t="n"/>
      <c r="AK39" s="48" t="n"/>
      <c r="AL39" s="49" t="n"/>
      <c r="AM39" s="51" t="n"/>
      <c r="AN39" s="101" t="n"/>
      <c r="AO39" s="48" t="n"/>
      <c r="AP39" s="49" t="n"/>
      <c r="AQ39" s="51" t="n"/>
      <c r="AR39" s="47" t="n"/>
      <c r="AS39" s="48" t="n"/>
      <c r="AT39" s="49" t="n"/>
      <c r="AU39" s="51" t="n"/>
      <c r="AV39" s="47" t="n"/>
      <c r="AW39" s="48" t="n"/>
      <c r="AX39" s="49" t="n"/>
      <c r="AY39" s="50" t="n"/>
      <c r="AZ39" s="47" t="n"/>
      <c r="BA39" s="48" t="n"/>
      <c r="BB39" s="49" t="n"/>
      <c r="BC39" s="50" t="n"/>
      <c r="BD39" s="47" t="n"/>
      <c r="BE39" s="48" t="n"/>
      <c r="BF39" s="49" t="n"/>
      <c r="BG39" s="50" t="n"/>
      <c r="BH39" s="64" t="n"/>
      <c r="BI39" s="51">
        <f>+D39+H39+L39+P39+T39+X39+AB39+AF39+AJ39+AN39+AR39+AV39+AZ39+BD39</f>
        <v/>
      </c>
      <c r="BJ39" s="51">
        <f>+E39+I39+M39+Q39+U39+Y39+AC39+AG39+AK39+AO39+AS39+AW39+BA39+BE39</f>
        <v/>
      </c>
      <c r="BK39" s="51">
        <f>+F39+J39+N39+R39+V40+Z39+AD39+AH39+AL39+AP39+AT39+AX39+BB39+BF39</f>
        <v/>
      </c>
      <c r="BL39" s="51">
        <f>+G39+K39+O39+S39+W39+AA39+AE39+AI39+AM39+AQ39+AU39+AY39+BC39+BG39</f>
        <v/>
      </c>
      <c r="BM39" s="51">
        <f>+E39-F39+G39+I39-J39+K39+M39-N39+O39+Q39-R39+S39+U39-V40+W39+Y39-Z39+AA39+AC39-AD39+AE39</f>
        <v/>
      </c>
      <c r="BN39" s="51">
        <f>+AG39-AH39+AI39+AK39-AL39+AM39+AO39-AP39+AQ39+AS39-AT39+AU39+AW39-AX39+AY39+BA39-BB39+BC39+BE39-BF39+BG39</f>
        <v/>
      </c>
      <c r="BO39" s="51">
        <f>BJ39-BK39+BL39</f>
        <v/>
      </c>
      <c r="BP39" s="51">
        <f>IF((+BI39*0.08)&lt;BJ39,0,(+BI39*0.08)-BJ39)</f>
        <v/>
      </c>
      <c r="BQ39" s="85">
        <f>IF(BI39&lt;&gt;0,+BJ39/BI39,0)</f>
        <v/>
      </c>
      <c r="BR39" s="51" t="n"/>
      <c r="BS39" s="51" t="n"/>
      <c r="BT39" s="51" t="n"/>
      <c r="BU39" s="51" t="n"/>
      <c r="BV39" s="51" t="n"/>
      <c r="BW39" s="51" t="n"/>
      <c r="BX39" s="51" t="n"/>
      <c r="BY39" s="64" t="n"/>
    </row>
    <row r="40" ht="18" customFormat="1" customHeight="1" s="75">
      <c r="A40" s="52" t="n">
        <v>4717</v>
      </c>
      <c r="B40" s="53" t="inlineStr">
        <is>
          <t>Letourneau Sarah</t>
        </is>
      </c>
      <c r="C40" s="55" t="n"/>
      <c r="D40" s="47" t="n"/>
      <c r="E40" s="48" t="n"/>
      <c r="F40" s="49" t="n"/>
      <c r="G40" s="50" t="n"/>
      <c r="H40" s="47" t="n"/>
      <c r="I40" s="48" t="n"/>
      <c r="J40" s="49" t="n"/>
      <c r="K40" s="51" t="n"/>
      <c r="L40" s="47" t="n"/>
      <c r="M40" s="48" t="n"/>
      <c r="N40" s="49" t="n"/>
      <c r="O40" s="51" t="n"/>
      <c r="P40" s="47" t="n"/>
      <c r="Q40" s="48" t="n"/>
      <c r="R40" s="49" t="n"/>
      <c r="S40" s="51" t="n"/>
      <c r="T40" s="47" t="n"/>
      <c r="U40" s="48" t="n"/>
      <c r="V40" s="49" t="n"/>
      <c r="W40" s="51" t="n"/>
      <c r="X40" s="82" t="n"/>
      <c r="Y40" s="48" t="n"/>
      <c r="Z40" s="49" t="n"/>
      <c r="AA40" s="51" t="n"/>
      <c r="AB40" s="47" t="n"/>
      <c r="AC40" s="48" t="n"/>
      <c r="AD40" s="49" t="n"/>
      <c r="AE40" s="51" t="n"/>
      <c r="AF40" s="82" t="n"/>
      <c r="AG40" s="48" t="n"/>
      <c r="AH40" s="49" t="n"/>
      <c r="AI40" s="51" t="n"/>
      <c r="AJ40" s="82" t="n"/>
      <c r="AK40" s="48" t="n"/>
      <c r="AL40" s="49" t="n"/>
      <c r="AM40" s="51" t="n"/>
      <c r="AN40" s="101" t="n"/>
      <c r="AO40" s="48" t="n"/>
      <c r="AP40" s="49" t="n"/>
      <c r="AQ40" s="51" t="n"/>
      <c r="AR40" s="47" t="n"/>
      <c r="AS40" s="48" t="n"/>
      <c r="AT40" s="49" t="n"/>
      <c r="AU40" s="51" t="n"/>
      <c r="AV40" s="47" t="n"/>
      <c r="AW40" s="48" t="n"/>
      <c r="AX40" s="49" t="n"/>
      <c r="AY40" s="50" t="n"/>
      <c r="AZ40" s="47" t="n"/>
      <c r="BA40" s="48" t="n"/>
      <c r="BB40" s="49" t="n"/>
      <c r="BC40" s="50" t="n"/>
      <c r="BD40" s="47" t="n"/>
      <c r="BE40" s="48" t="n"/>
      <c r="BF40" s="49" t="n"/>
      <c r="BG40" s="50" t="n"/>
      <c r="BH40" s="64" t="n"/>
      <c r="BI40" s="51">
        <f>+D40+H40+L40+P40+T40+X40+AB40+AF40+AJ40+AN40+AR40+AV40+AZ40+BD40</f>
        <v/>
      </c>
      <c r="BJ40" s="51">
        <f>+E40+I40+M40+Q40+U40+Y40+AC40+AG40+AK40+AO40+AS40+AW40+BA40+BE40</f>
        <v/>
      </c>
      <c r="BK40" s="51">
        <f>+F40+J40+N40+R40+V41+Z40+AD40+AH40+AL40+AP40+AT40+AX40+BB40+BF40</f>
        <v/>
      </c>
      <c r="BL40" s="51">
        <f>+G40+K40+O40+S40+W40+AA40+AE40+AI40+AM40+AQ40+AU40+AY40+BC40+BG40</f>
        <v/>
      </c>
      <c r="BM40" s="51">
        <f>+E40-F40+G40+I40-J40+K40+M40-N40+O40+Q40-R40+S40+U40-V41+W40+Y40-Z40+AA40+AC40-AD40+AE40</f>
        <v/>
      </c>
      <c r="BN40" s="51">
        <f>+AG40-AH40+AI40+AK40-AL40+AM40+AO40-AP40+AQ40+AS40-AT40+AU40+AW40-AX40+AY40+BA40-BB40+BC40+BE40-BF40+BG40</f>
        <v/>
      </c>
      <c r="BO40" s="51">
        <f>BJ40-BK40+BL40</f>
        <v/>
      </c>
      <c r="BP40" s="51">
        <f>IF((+BI40*0.08)&lt;BJ40,0,(+BI40*0.08)-BJ40)</f>
        <v/>
      </c>
      <c r="BQ40" s="85">
        <f>IF(BI40&lt;&gt;0,+BJ40/BI40,0)</f>
        <v/>
      </c>
      <c r="BR40" s="51" t="n"/>
      <c r="BS40" s="51" t="n"/>
      <c r="BT40" s="51" t="n"/>
      <c r="BU40" s="51" t="n"/>
      <c r="BV40" s="51" t="n"/>
      <c r="BW40" s="51" t="n"/>
      <c r="BX40" s="51" t="n"/>
      <c r="BY40" s="64" t="n"/>
    </row>
    <row r="41" ht="18" customFormat="1" customHeight="1" s="75">
      <c r="A41" s="52" t="n">
        <v>400</v>
      </c>
      <c r="B41" s="53" t="inlineStr">
        <is>
          <t>Lim Mathy</t>
        </is>
      </c>
      <c r="C41" s="55" t="n"/>
      <c r="D41" s="47" t="n"/>
      <c r="E41" s="48" t="n"/>
      <c r="F41" s="49" t="n"/>
      <c r="G41" s="50" t="n"/>
      <c r="H41" s="47" t="n"/>
      <c r="I41" s="48" t="n"/>
      <c r="J41" s="49" t="n"/>
      <c r="K41" s="51" t="n"/>
      <c r="L41" s="47" t="n"/>
      <c r="M41" s="48" t="n"/>
      <c r="N41" s="49" t="n"/>
      <c r="O41" s="51" t="n"/>
      <c r="P41" s="47" t="n"/>
      <c r="Q41" s="48" t="n"/>
      <c r="R41" s="49" t="n"/>
      <c r="S41" s="51" t="n"/>
      <c r="T41" s="47" t="n"/>
      <c r="U41" s="48" t="n"/>
      <c r="V41" s="49" t="n"/>
      <c r="W41" s="51" t="n"/>
      <c r="X41" s="82" t="n"/>
      <c r="Y41" s="48" t="n"/>
      <c r="Z41" s="49" t="n"/>
      <c r="AA41" s="51" t="n"/>
      <c r="AB41" s="47" t="n"/>
      <c r="AC41" s="48" t="n"/>
      <c r="AD41" s="49" t="n"/>
      <c r="AE41" s="51" t="n"/>
      <c r="AF41" s="82" t="n"/>
      <c r="AG41" s="48" t="n"/>
      <c r="AH41" s="49" t="n"/>
      <c r="AI41" s="51" t="n"/>
      <c r="AJ41" s="82" t="n"/>
      <c r="AK41" s="48" t="n"/>
      <c r="AL41" s="49" t="n"/>
      <c r="AM41" s="51" t="n"/>
      <c r="AN41" s="101" t="n"/>
      <c r="AO41" s="48" t="n"/>
      <c r="AP41" s="49" t="n"/>
      <c r="AQ41" s="51" t="n"/>
      <c r="AR41" s="47" t="n"/>
      <c r="AS41" s="48" t="n"/>
      <c r="AT41" s="49" t="n"/>
      <c r="AU41" s="51" t="n"/>
      <c r="AV41" s="47" t="n"/>
      <c r="AW41" s="48" t="n"/>
      <c r="AX41" s="49" t="n"/>
      <c r="AY41" s="50" t="n"/>
      <c r="AZ41" s="47" t="n"/>
      <c r="BA41" s="48" t="n"/>
      <c r="BB41" s="49" t="n"/>
      <c r="BC41" s="50" t="n"/>
      <c r="BD41" s="47" t="n"/>
      <c r="BE41" s="48" t="n"/>
      <c r="BF41" s="49" t="n"/>
      <c r="BG41" s="50" t="n"/>
      <c r="BH41" s="64" t="n"/>
      <c r="BI41" s="51">
        <f>+D41+H41+L41+P41+T41+X41+AB41+AF41+AJ41+AN41+AR41+AV41+AZ41+BD41</f>
        <v/>
      </c>
      <c r="BJ41" s="51">
        <f>+E41+I41+M41+Q41+U41+Y41+AC41+AG41+AK41+AO41+AS41+AW41+BA41+BE41</f>
        <v/>
      </c>
      <c r="BK41" s="51">
        <f>+F41+J41+N41+R41+V42+Z41+AD41+AH41+AL41+AP41+AT41+AX41+BB41+BF41</f>
        <v/>
      </c>
      <c r="BL41" s="51">
        <f>+G41+K41+O41+S41+W41+AA41+AE41+AI41+AM41+AQ41+AU41+AY41+BC41+BG41</f>
        <v/>
      </c>
      <c r="BM41" s="51">
        <f>+E41-F41+G41+I41-J41+K41+M41-N41+O41+Q41-R41+S41+U41-V42+W41+Y41-Z41+AA41+AC41-AD41+AE41</f>
        <v/>
      </c>
      <c r="BN41" s="51">
        <f>+AG41-AH41+AI41+AK41-AL41+AM41+AO41-AP41+AQ41+AS41-AT41+AU41+AW41-AX41+AY41+BA41-BB41+BC41+BE41-BF41+BG41</f>
        <v/>
      </c>
      <c r="BO41" s="51">
        <f>BJ41-BK41+BL41</f>
        <v/>
      </c>
      <c r="BP41" s="51">
        <f>IF((+BI41*0.08)&lt;BJ41,0,(+BI41*0.08)-BJ41)</f>
        <v/>
      </c>
      <c r="BQ41" s="85">
        <f>IF(BI41&lt;&gt;0,+BJ41/BI41,0)</f>
        <v/>
      </c>
      <c r="BR41" s="51" t="n"/>
      <c r="BS41" s="51" t="n"/>
      <c r="BT41" s="51" t="n"/>
      <c r="BU41" s="51" t="n"/>
      <c r="BV41" s="51" t="n"/>
      <c r="BW41" s="51" t="n"/>
      <c r="BX41" s="51" t="n"/>
      <c r="BY41" s="64" t="n"/>
    </row>
    <row r="42" ht="18" customFormat="1" customHeight="1" s="75">
      <c r="A42" s="52" t="n">
        <v>5601</v>
      </c>
      <c r="B42" s="53" t="inlineStr">
        <is>
          <t>Lebel Genevieve</t>
        </is>
      </c>
      <c r="C42" s="55" t="n"/>
      <c r="D42" s="47" t="n"/>
      <c r="E42" s="48" t="n"/>
      <c r="F42" s="49" t="n"/>
      <c r="G42" s="50" t="n"/>
      <c r="H42" s="47" t="n"/>
      <c r="I42" s="48" t="n"/>
      <c r="J42" s="49" t="n"/>
      <c r="K42" s="51" t="n"/>
      <c r="L42" s="47" t="n"/>
      <c r="M42" s="48" t="n"/>
      <c r="N42" s="49" t="n"/>
      <c r="O42" s="51" t="n"/>
      <c r="P42" s="47" t="n"/>
      <c r="Q42" s="48" t="n"/>
      <c r="R42" s="49" t="n"/>
      <c r="S42" s="51" t="n"/>
      <c r="T42" s="47" t="n"/>
      <c r="U42" s="48" t="n"/>
      <c r="V42" s="49" t="n"/>
      <c r="W42" s="51" t="n"/>
      <c r="X42" s="82" t="n"/>
      <c r="Y42" s="48" t="n"/>
      <c r="Z42" s="49" t="n"/>
      <c r="AA42" s="51" t="n"/>
      <c r="AB42" s="47" t="n"/>
      <c r="AC42" s="48" t="n"/>
      <c r="AD42" s="49" t="n"/>
      <c r="AE42" s="51" t="n"/>
      <c r="AF42" s="82" t="n"/>
      <c r="AG42" s="48" t="n"/>
      <c r="AH42" s="49" t="n"/>
      <c r="AI42" s="51" t="n"/>
      <c r="AJ42" s="82" t="n"/>
      <c r="AK42" s="48" t="n"/>
      <c r="AL42" s="49" t="n"/>
      <c r="AM42" s="51" t="n"/>
      <c r="AN42" s="101" t="n"/>
      <c r="AO42" s="48" t="n"/>
      <c r="AP42" s="49" t="n"/>
      <c r="AQ42" s="51" t="n"/>
      <c r="AR42" s="47" t="n"/>
      <c r="AS42" s="48" t="n"/>
      <c r="AT42" s="49" t="n"/>
      <c r="AU42" s="51" t="n"/>
      <c r="AV42" s="47" t="n"/>
      <c r="AW42" s="48" t="n"/>
      <c r="AX42" s="49" t="n"/>
      <c r="AY42" s="50" t="n"/>
      <c r="AZ42" s="47" t="n"/>
      <c r="BA42" s="48" t="n"/>
      <c r="BB42" s="49" t="n"/>
      <c r="BC42" s="50" t="n"/>
      <c r="BD42" s="51" t="n"/>
      <c r="BE42" s="48" t="n"/>
      <c r="BF42" s="49" t="n"/>
      <c r="BG42" s="50" t="n"/>
      <c r="BH42" s="64" t="n"/>
      <c r="BI42" s="51">
        <f>+D42+H42+L42+P42+T42+X42+AB42+AF42+AJ42+AN42+AR42+AV42+AZ42+BD42</f>
        <v/>
      </c>
      <c r="BJ42" s="51">
        <f>+E42+I42+M42+Q42+U42+Y42+AC42+AG42+AK42+AO42+AS42+AW42+BA42+BE42</f>
        <v/>
      </c>
      <c r="BK42" s="51">
        <f>+F42+J42+N42+R42+V43+Z42+AD42+AH42+AL42+AP42+AT42+AX42+BB42+BF42</f>
        <v/>
      </c>
      <c r="BL42" s="51">
        <f>+G42+K42+O42+S42+W42+AA42+AE42+AI42+AM42+AQ42+AU42+AY42+BC42+BG42</f>
        <v/>
      </c>
      <c r="BM42" s="51">
        <f>+E42-F42+G42+I42-J42+K42+M42-N42+O42+Q42-R42+S42+U42-V43+W42+Y42-Z42+AA42+AC42-AD42+AE42</f>
        <v/>
      </c>
      <c r="BN42" s="51">
        <f>+AG42-AH42+AI42+AK42-AL42+AM42+AO42-AP42+AQ42+AS42-AT42+AU42+AW42-AX42+AY42+BA42-BB42+BC42+BE42-BF42+BG42</f>
        <v/>
      </c>
      <c r="BO42" s="51">
        <f>BJ42-BK42+BL42</f>
        <v/>
      </c>
      <c r="BP42" s="51">
        <f>IF((+BI42*0.08)&lt;BJ42,0,(+BI42*0.08)-BJ42)</f>
        <v/>
      </c>
      <c r="BQ42" s="85">
        <f>IF(BI42&lt;&gt;0,+BJ42/BI42,0)</f>
        <v/>
      </c>
      <c r="BR42" s="51" t="n"/>
      <c r="BS42" s="51" t="n"/>
      <c r="BT42" s="51" t="n"/>
      <c r="BU42" s="51" t="n"/>
      <c r="BV42" s="51" t="n"/>
      <c r="BW42" s="51" t="n"/>
      <c r="BX42" s="51" t="n"/>
      <c r="BY42" s="64" t="n"/>
    </row>
    <row r="43" ht="18" customFormat="1" customHeight="1" s="75">
      <c r="A43" s="56" t="n">
        <v>5885</v>
      </c>
      <c r="B43" s="53" t="inlineStr">
        <is>
          <t xml:space="preserve">Lussier Emmanuelle </t>
        </is>
      </c>
      <c r="C43" s="55" t="n"/>
      <c r="D43" s="47" t="n"/>
      <c r="E43" s="48" t="n"/>
      <c r="F43" s="49" t="n"/>
      <c r="G43" s="50" t="n"/>
      <c r="H43" s="51" t="n"/>
      <c r="I43" s="48" t="n"/>
      <c r="J43" s="49" t="n"/>
      <c r="K43" s="51" t="n"/>
      <c r="L43" s="47" t="n"/>
      <c r="M43" s="48" t="n"/>
      <c r="N43" s="49" t="n"/>
      <c r="O43" s="51" t="n"/>
      <c r="P43" s="47" t="n"/>
      <c r="Q43" s="48" t="n"/>
      <c r="R43" s="49" t="n"/>
      <c r="S43" s="51" t="n"/>
      <c r="T43" s="47" t="n"/>
      <c r="U43" s="48" t="n"/>
      <c r="V43" s="49" t="n"/>
      <c r="W43" s="50" t="n"/>
      <c r="X43" s="82" t="n"/>
      <c r="Y43" s="48" t="n"/>
      <c r="Z43" s="49" t="n"/>
      <c r="AA43" s="50" t="n"/>
      <c r="AB43" s="47" t="n"/>
      <c r="AC43" s="48" t="n"/>
      <c r="AD43" s="49" t="n"/>
      <c r="AE43" s="50" t="n"/>
      <c r="AF43" s="82" t="n"/>
      <c r="AG43" s="48" t="n"/>
      <c r="AH43" s="49" t="n"/>
      <c r="AI43" s="50" t="n"/>
      <c r="AJ43" s="82" t="n"/>
      <c r="AK43" s="48" t="n"/>
      <c r="AL43" s="49" t="n"/>
      <c r="AM43" s="50" t="n"/>
      <c r="AN43" s="97" t="n"/>
      <c r="AO43" s="48" t="n"/>
      <c r="AP43" s="49" t="n"/>
      <c r="AQ43" s="50" t="n"/>
      <c r="AR43" s="47" t="n"/>
      <c r="AS43" s="48" t="n"/>
      <c r="AT43" s="49" t="n"/>
      <c r="AU43" s="51" t="n"/>
      <c r="AV43" s="47" t="n"/>
      <c r="AW43" s="48" t="n"/>
      <c r="AX43" s="49" t="n"/>
      <c r="AY43" s="50" t="n"/>
      <c r="AZ43" s="51" t="n"/>
      <c r="BA43" s="48" t="n"/>
      <c r="BB43" s="49" t="n"/>
      <c r="BC43" s="50" t="n"/>
      <c r="BD43" s="51" t="n"/>
      <c r="BE43" s="48" t="n"/>
      <c r="BF43" s="49" t="n"/>
      <c r="BG43" s="50" t="n"/>
      <c r="BH43" s="64" t="n"/>
      <c r="BI43" s="51">
        <f>+D43+H43+L43+P43+T43+X43+AB43+AF43+AJ43+AN43+AR43+AV43+AZ43+BD43</f>
        <v/>
      </c>
      <c r="BJ43" s="51">
        <f>+E43+I43+M43+Q43+U43+Y43+AC43+AG43+AK43+AO43+AS43+AW43+BA43+BE43</f>
        <v/>
      </c>
      <c r="BK43" s="51">
        <f>+F43+J43+N43+R43+V44+Z43+AD43+AH43+AL43+AP43+AT43+AX43+BB43+BF43</f>
        <v/>
      </c>
      <c r="BL43" s="51">
        <f>+G43+K43+O43+S43+W43+AA43+AE43+AI43+AM43+AQ43+AU43+AY43+BC43+BG43</f>
        <v/>
      </c>
      <c r="BM43" s="51">
        <f>+E43-F43+G43+I43-J43+K43+M43-N43+O43+Q43-R43+S43+U43-V44+W43+Y43-Z43+AA43+AC43-AD43+AE43</f>
        <v/>
      </c>
      <c r="BN43" s="51">
        <f>+AG43-AH43+AI43+AK43-AL43+AM43+AO43-AP43+AQ43+AS43-AT43+AU43+AW43-AX43+AY43+BA43-BB43+BC43+BE43-BF43+BG43</f>
        <v/>
      </c>
      <c r="BO43" s="51">
        <f>BJ43-BK43+BL43</f>
        <v/>
      </c>
      <c r="BP43" s="51">
        <f>IF((+BI43*0.08)&lt;BJ43,0,(+BI43*0.08)-BJ43)</f>
        <v/>
      </c>
      <c r="BQ43" s="85">
        <f>IF(BI43&lt;&gt;0,+BJ43/BI43,0)</f>
        <v/>
      </c>
      <c r="BR43" s="51" t="n"/>
      <c r="BS43" s="51" t="n"/>
      <c r="BT43" s="51" t="n"/>
      <c r="BU43" s="51" t="n"/>
      <c r="BV43" s="51" t="n"/>
      <c r="BW43" s="51" t="n"/>
      <c r="BX43" s="51" t="n"/>
      <c r="BY43" s="64" t="n"/>
    </row>
    <row r="44" ht="18" customFormat="1" customHeight="1" s="75">
      <c r="A44" s="52" t="n">
        <v>5832</v>
      </c>
      <c r="B44" s="53" t="inlineStr">
        <is>
          <t>Marquis Melissa</t>
        </is>
      </c>
      <c r="C44" s="53" t="n"/>
      <c r="D44" s="51" t="n"/>
      <c r="E44" s="48" t="n"/>
      <c r="F44" s="49" t="n"/>
      <c r="G44" s="50" t="n"/>
      <c r="H44" s="51" t="n"/>
      <c r="I44" s="48" t="n"/>
      <c r="J44" s="49" t="n"/>
      <c r="K44" s="51" t="n"/>
      <c r="L44" s="47" t="n"/>
      <c r="M44" s="48" t="n"/>
      <c r="N44" s="49" t="n"/>
      <c r="O44" s="51" t="n"/>
      <c r="P44" s="47" t="n"/>
      <c r="Q44" s="48" t="n"/>
      <c r="R44" s="49" t="n"/>
      <c r="S44" s="51" t="n"/>
      <c r="T44" s="47" t="n"/>
      <c r="U44" s="48" t="n"/>
      <c r="V44" s="49" t="n"/>
      <c r="W44" s="50" t="n"/>
      <c r="X44" s="64" t="n"/>
      <c r="Y44" s="48" t="n"/>
      <c r="Z44" s="49" t="n"/>
      <c r="AA44" s="50" t="n"/>
      <c r="AB44" s="47" t="n"/>
      <c r="AC44" s="48" t="n"/>
      <c r="AD44" s="49" t="n"/>
      <c r="AE44" s="50" t="n"/>
      <c r="AF44" s="82" t="n"/>
      <c r="AG44" s="48" t="n"/>
      <c r="AH44" s="49" t="n"/>
      <c r="AI44" s="50" t="n"/>
      <c r="AJ44" s="82" t="n"/>
      <c r="AK44" s="48" t="n"/>
      <c r="AL44" s="49" t="n"/>
      <c r="AM44" s="50" t="n"/>
      <c r="AN44" s="97" t="n"/>
      <c r="AO44" s="48" t="n"/>
      <c r="AP44" s="49" t="n"/>
      <c r="AQ44" s="50" t="n"/>
      <c r="AR44" s="51" t="n"/>
      <c r="AS44" s="48" t="n"/>
      <c r="AT44" s="49" t="n"/>
      <c r="AU44" s="51" t="n"/>
      <c r="AV44" s="47" t="n"/>
      <c r="AW44" s="48" t="n"/>
      <c r="AX44" s="49" t="n"/>
      <c r="AY44" s="50" t="n"/>
      <c r="AZ44" s="51" t="n"/>
      <c r="BA44" s="48" t="n"/>
      <c r="BB44" s="49" t="n"/>
      <c r="BC44" s="50" t="n"/>
      <c r="BD44" s="51" t="n"/>
      <c r="BE44" s="48" t="n"/>
      <c r="BF44" s="49" t="n"/>
      <c r="BG44" s="50" t="n"/>
      <c r="BH44" s="64" t="n"/>
      <c r="BI44" s="51">
        <f>+D44+H44+L44+P44+T44+X44+AB44+AF44+AJ44+AN44+AR44+AV44+AZ44+BD44</f>
        <v/>
      </c>
      <c r="BJ44" s="51">
        <f>+E44+I44+M44+Q44+U44+Y44+AC44+AG44+AK44+AO44+AS44+AW44+BA44+BE44</f>
        <v/>
      </c>
      <c r="BK44" s="51">
        <f>+F44+J44+N44+R44+V45+Z44+AD44+AH44+AL44+AP44+AT44+AX44+BB44+BF44</f>
        <v/>
      </c>
      <c r="BL44" s="51">
        <f>+G44+K44+O44+S44+W44+AA44+AE44+AI44+AM44+AQ44+AU44+AY44+BC44+BG44</f>
        <v/>
      </c>
      <c r="BM44" s="51">
        <f>+E44-F44+G44+I44-J44+K44+M44-N44+O44+Q44-R44+S44+U44-V45+W44+Y44-Z44+AA44+AC44-AD44+AE44</f>
        <v/>
      </c>
      <c r="BN44" s="51">
        <f>+AG44-AH44+AI44+AK44-AL44+AM44+AO44-AP44+AQ44+AS44-AT44+AU44+AW44-AX44+AY44+BA44-BB44+BC44+BE44-BF44+BG44</f>
        <v/>
      </c>
      <c r="BO44" s="51">
        <f>BJ44-BK44+BL44</f>
        <v/>
      </c>
      <c r="BP44" s="51">
        <f>IF((+BI44*0.08)&lt;BJ44,0,(+BI44*0.08)-BJ44)</f>
        <v/>
      </c>
      <c r="BQ44" s="85">
        <f>IF(BI44&lt;&gt;0,+BJ44/BI44,0)</f>
        <v/>
      </c>
      <c r="BR44" s="64" t="n"/>
      <c r="BS44" s="64" t="n"/>
      <c r="BT44" s="64" t="n"/>
      <c r="BU44" s="64" t="n"/>
      <c r="BV44" s="64" t="n"/>
      <c r="BW44" s="64" t="n"/>
      <c r="BX44" s="64" t="n"/>
      <c r="BY44" s="64" t="n"/>
    </row>
    <row r="45" ht="18" customFormat="1" customHeight="1" s="75">
      <c r="A45" s="52" t="n">
        <v>4250</v>
      </c>
      <c r="B45" s="53" t="inlineStr">
        <is>
          <t>Milovic Dragan</t>
        </is>
      </c>
      <c r="C45" s="55" t="n"/>
      <c r="D45" s="47" t="n"/>
      <c r="E45" s="48" t="n"/>
      <c r="F45" s="49" t="n"/>
      <c r="G45" s="50" t="n"/>
      <c r="H45" s="47" t="n"/>
      <c r="I45" s="48" t="n"/>
      <c r="J45" s="49" t="n"/>
      <c r="K45" s="51" t="n"/>
      <c r="L45" s="47" t="n"/>
      <c r="M45" s="48" t="n"/>
      <c r="N45" s="49" t="n"/>
      <c r="O45" s="51" t="n"/>
      <c r="P45" s="47" t="n"/>
      <c r="Q45" s="48" t="n"/>
      <c r="R45" s="49" t="n"/>
      <c r="S45" s="51" t="n"/>
      <c r="T45" s="47" t="n"/>
      <c r="U45" s="48" t="n"/>
      <c r="V45" s="49" t="n"/>
      <c r="W45" s="51" t="n"/>
      <c r="X45" s="82" t="n"/>
      <c r="Y45" s="48" t="n"/>
      <c r="Z45" s="49" t="n"/>
      <c r="AA45" s="50" t="n"/>
      <c r="AB45" s="47" t="n"/>
      <c r="AC45" s="48" t="n"/>
      <c r="AD45" s="49" t="n"/>
      <c r="AE45" s="51" t="n"/>
      <c r="AF45" s="82" t="n"/>
      <c r="AG45" s="48" t="n"/>
      <c r="AH45" s="49" t="n"/>
      <c r="AI45" s="51" t="n"/>
      <c r="AJ45" s="82" t="n"/>
      <c r="AK45" s="48" t="n"/>
      <c r="AL45" s="49" t="n"/>
      <c r="AM45" s="51" t="n"/>
      <c r="AN45" s="101" t="n"/>
      <c r="AO45" s="48" t="n"/>
      <c r="AP45" s="49" t="n"/>
      <c r="AQ45" s="51" t="n"/>
      <c r="AR45" s="47" t="n"/>
      <c r="AS45" s="48" t="n"/>
      <c r="AT45" s="49" t="n"/>
      <c r="AU45" s="51" t="n"/>
      <c r="AV45" s="47" t="n"/>
      <c r="AW45" s="48" t="n"/>
      <c r="AX45" s="49" t="n"/>
      <c r="AY45" s="50" t="n"/>
      <c r="AZ45" s="47" t="n"/>
      <c r="BA45" s="48" t="n"/>
      <c r="BB45" s="49" t="n"/>
      <c r="BC45" s="50" t="n"/>
      <c r="BD45" s="51" t="n"/>
      <c r="BE45" s="48" t="n"/>
      <c r="BF45" s="49" t="n"/>
      <c r="BG45" s="50" t="n"/>
      <c r="BH45" s="64" t="n"/>
      <c r="BI45" s="51">
        <f>+D45+H45+L45+P45+T45+X45+AB45+AF45+AJ45+AN45+AR45+AV45+AZ45+BD45</f>
        <v/>
      </c>
      <c r="BJ45" s="51">
        <f>+E45+I45+M45+Q45+U45+Y45+AC45+AG45+AK45+AO45+AS45+AW45+BA45+BE45</f>
        <v/>
      </c>
      <c r="BK45" s="51">
        <f>+F45+J45+N45+R45+V46+Z45+AD45+AH45+AL45+AP45+AT45+AX45+BB45+BF45</f>
        <v/>
      </c>
      <c r="BL45" s="51">
        <f>+G45+K45+O45+S45+W45+AA45+AE45+AI45+AM45+AQ45+AU45+AY45+BC45+BG45</f>
        <v/>
      </c>
      <c r="BM45" s="51">
        <f>+E45-F45+G45+I45-J45+K45+M45-N45+O45+Q45-R45+S45+U45-V46+W45+Y45-Z45+AA45+AC45-AD45+AE45</f>
        <v/>
      </c>
      <c r="BN45" s="51">
        <f>+AG45-AH45+AI45+AK45-AL45+AM45+AO45-AP45+AQ45+AS45-AT45+AU45+AW45-AX45+AY45+BA45-BB45+BC45+BE45-BF45+BG45</f>
        <v/>
      </c>
      <c r="BO45" s="51">
        <f>BJ45-BK45+BL45</f>
        <v/>
      </c>
      <c r="BP45" s="51">
        <f>IF((+BI45*0.08)&lt;BJ45,0,(+BI45*0.08)-BJ45)</f>
        <v/>
      </c>
      <c r="BQ45" s="85">
        <f>IF(BI45&lt;&gt;0,+BJ45/BI45,0)</f>
        <v/>
      </c>
      <c r="BR45" s="51" t="n"/>
      <c r="BS45" s="51" t="n"/>
      <c r="BT45" s="51" t="n"/>
      <c r="BU45" s="51" t="n"/>
      <c r="BV45" s="51" t="n"/>
      <c r="BW45" s="51" t="n"/>
      <c r="BX45" s="51" t="n"/>
      <c r="BY45" s="64" t="n"/>
    </row>
    <row r="46" ht="18" customFormat="1" customHeight="1" s="75">
      <c r="A46" s="52" t="n">
        <v>4920</v>
      </c>
      <c r="B46" s="86" t="inlineStr">
        <is>
          <t>Nadeau Caroline</t>
        </is>
      </c>
      <c r="C46" s="87" t="n"/>
      <c r="D46" s="47" t="n"/>
      <c r="E46" s="48" t="n"/>
      <c r="F46" s="49" t="n"/>
      <c r="G46" s="50" t="n"/>
      <c r="H46" s="47" t="n"/>
      <c r="I46" s="48" t="n"/>
      <c r="J46" s="49" t="n"/>
      <c r="K46" s="51" t="n"/>
      <c r="L46" s="47" t="n"/>
      <c r="M46" s="48" t="n"/>
      <c r="N46" s="49" t="n"/>
      <c r="O46" s="51" t="n"/>
      <c r="P46" s="47" t="n"/>
      <c r="Q46" s="48" t="n"/>
      <c r="R46" s="49" t="n"/>
      <c r="S46" s="51" t="n"/>
      <c r="T46" s="47" t="n"/>
      <c r="U46" s="48" t="n"/>
      <c r="V46" s="49" t="n"/>
      <c r="W46" s="51" t="n"/>
      <c r="X46" s="82" t="n"/>
      <c r="Y46" s="48" t="n"/>
      <c r="Z46" s="49" t="n"/>
      <c r="AA46" s="51" t="n"/>
      <c r="AB46" s="47" t="n"/>
      <c r="AC46" s="48" t="n"/>
      <c r="AD46" s="49" t="n"/>
      <c r="AE46" s="51" t="n"/>
      <c r="AF46" s="82" t="n"/>
      <c r="AG46" s="48" t="n"/>
      <c r="AH46" s="49" t="n"/>
      <c r="AI46" s="51" t="n"/>
      <c r="AJ46" s="82" t="n"/>
      <c r="AK46" s="48" t="n"/>
      <c r="AL46" s="49" t="n"/>
      <c r="AM46" s="51" t="n"/>
      <c r="AN46" s="101" t="n"/>
      <c r="AO46" s="48" t="n"/>
      <c r="AP46" s="49" t="n"/>
      <c r="AQ46" s="51" t="n"/>
      <c r="AR46" s="47" t="n"/>
      <c r="AS46" s="48" t="n"/>
      <c r="AT46" s="49" t="n"/>
      <c r="AU46" s="51" t="n"/>
      <c r="AV46" s="47" t="n"/>
      <c r="AW46" s="48" t="n"/>
      <c r="AX46" s="49" t="n"/>
      <c r="AY46" s="50" t="n"/>
      <c r="AZ46" s="47" t="n"/>
      <c r="BA46" s="48" t="n"/>
      <c r="BB46" s="49" t="n"/>
      <c r="BC46" s="50" t="n"/>
      <c r="BD46" s="47" t="n"/>
      <c r="BE46" s="48" t="n"/>
      <c r="BF46" s="49" t="n"/>
      <c r="BG46" s="50" t="n"/>
      <c r="BH46" s="64" t="n"/>
      <c r="BI46" s="51">
        <f>+D46+H46+L46+P46+T46+X46+AB46+AF46+AJ46+AN46+AR46+AV46+AZ46+BD46</f>
        <v/>
      </c>
      <c r="BJ46" s="51">
        <f>+E46+I46+M46+Q46+U46+Y46+AC46+AG46+AK46+AO46+AS46+AW46+BA46+BE46</f>
        <v/>
      </c>
      <c r="BK46" s="51">
        <f>+F46+J46+N46+R46+V47+Z46+AD46+AH46+AL46+AP46+AT46+AX46+BB46+BF46</f>
        <v/>
      </c>
      <c r="BL46" s="51">
        <f>+G46+K46+O46+S46+W46+AA46+AE46+AI46+AM46+AQ46+AU46+AY46+BC46+BG46</f>
        <v/>
      </c>
      <c r="BM46" s="51">
        <f>+E46-F46+G46+I46-J46+K46+M46-N46+O46+Q46-R46+S46+U46-V47+W46+Y46-Z46+AA46+AC46-AD46+AE46</f>
        <v/>
      </c>
      <c r="BN46" s="51">
        <f>+AG46-AH46+AI46+AK46-AL46+AM46+AO46-AP46+AQ46+AS46-AT46+AU46+AW46-AX46+AY46+BA46-BB46+BC46+BE46-BF46+BG46</f>
        <v/>
      </c>
      <c r="BO46" s="51">
        <f>BJ46-BK46+BL46</f>
        <v/>
      </c>
      <c r="BP46" s="51">
        <f>IF((+BI46*0.08)&lt;BJ46,0,(+BI46*0.08)-BJ46)</f>
        <v/>
      </c>
      <c r="BQ46" s="85">
        <f>IF(BI46&lt;&gt;0,+BJ46/BI46,0)</f>
        <v/>
      </c>
      <c r="BR46" s="51" t="n"/>
      <c r="BS46" s="51" t="n"/>
      <c r="BT46" s="51" t="n"/>
      <c r="BU46" s="51" t="n"/>
      <c r="BV46" s="51" t="n"/>
      <c r="BW46" s="51" t="n"/>
      <c r="BX46" s="51" t="n"/>
      <c r="BY46" s="64" t="n"/>
    </row>
    <row r="47" ht="18" customFormat="1" customHeight="1" s="75">
      <c r="A47" s="52" t="n">
        <v>3834</v>
      </c>
      <c r="B47" s="53" t="inlineStr">
        <is>
          <t>Nadeau Isabelle</t>
        </is>
      </c>
      <c r="C47" s="55" t="n"/>
      <c r="D47" s="47" t="n"/>
      <c r="E47" s="48" t="n"/>
      <c r="F47" s="49" t="n"/>
      <c r="G47" s="50" t="n"/>
      <c r="H47" s="47" t="n"/>
      <c r="I47" s="48" t="n"/>
      <c r="J47" s="49" t="n"/>
      <c r="K47" s="51" t="n"/>
      <c r="L47" s="47" t="n"/>
      <c r="M47" s="48" t="n"/>
      <c r="N47" s="49" t="n"/>
      <c r="O47" s="51" t="n"/>
      <c r="P47" s="47" t="n"/>
      <c r="Q47" s="48" t="n"/>
      <c r="R47" s="49" t="n"/>
      <c r="S47" s="51" t="n"/>
      <c r="T47" s="47" t="n"/>
      <c r="U47" s="48" t="n"/>
      <c r="V47" s="49" t="n"/>
      <c r="W47" s="51" t="n"/>
      <c r="X47" s="82" t="n"/>
      <c r="Y47" s="48" t="n"/>
      <c r="Z47" s="49" t="n"/>
      <c r="AA47" s="51" t="n"/>
      <c r="AB47" s="47" t="n"/>
      <c r="AC47" s="48" t="n"/>
      <c r="AD47" s="49" t="n"/>
      <c r="AE47" s="51" t="n"/>
      <c r="AF47" s="82" t="n"/>
      <c r="AG47" s="48" t="n"/>
      <c r="AH47" s="49" t="n"/>
      <c r="AI47" s="51" t="n"/>
      <c r="AJ47" s="82" t="n"/>
      <c r="AK47" s="48" t="n"/>
      <c r="AL47" s="49" t="n"/>
      <c r="AM47" s="51" t="n"/>
      <c r="AN47" s="101" t="n"/>
      <c r="AO47" s="48" t="n"/>
      <c r="AP47" s="49" t="n"/>
      <c r="AQ47" s="51" t="n"/>
      <c r="AR47" s="47" t="n"/>
      <c r="AS47" s="48" t="n"/>
      <c r="AT47" s="49" t="n"/>
      <c r="AU47" s="51" t="n"/>
      <c r="AV47" s="47" t="n"/>
      <c r="AW47" s="48" t="n"/>
      <c r="AX47" s="49" t="n"/>
      <c r="AY47" s="50" t="n"/>
      <c r="AZ47" s="47" t="n"/>
      <c r="BA47" s="48" t="n"/>
      <c r="BB47" s="49" t="n"/>
      <c r="BC47" s="50" t="n"/>
      <c r="BD47" s="47" t="n"/>
      <c r="BE47" s="48" t="n"/>
      <c r="BF47" s="49" t="n"/>
      <c r="BG47" s="50" t="n"/>
      <c r="BH47" s="64" t="n"/>
      <c r="BI47" s="51">
        <f>+D47+H47+L47+P47+T47+X47+AB47+AF47+AJ47+AN47+AR47+AV47+AZ47+BD47</f>
        <v/>
      </c>
      <c r="BJ47" s="51">
        <f>+E47+I47+M47+Q47+U47+Y47+AC47+AG47+AK47+AO47+AS47+AW47+BA47+BE47</f>
        <v/>
      </c>
      <c r="BK47" s="51">
        <f>+F47+J47+N47+R47+V48+Z47+AD47+AH47+AL47+AP47+AT47+AX47+BB47+BF47</f>
        <v/>
      </c>
      <c r="BL47" s="51">
        <f>+G47+K47+O47+S47+W47+AA47+AE47+AI47+AM47+AQ47+AU47+AY47+BC47+BG47</f>
        <v/>
      </c>
      <c r="BM47" s="51">
        <f>+E47-F47+G47+I47-J47+K47+M47-N47+O47+Q47-R47+S47+U47-V48+W47+Y47-Z47+AA47+AC47-AD47+AE47</f>
        <v/>
      </c>
      <c r="BN47" s="51">
        <f>+AG47-AH47+AI47+AK47-AL47+AM47+AO47-AP47+AQ47+AS47-AT47+AU47+AW47-AX47+AY47+BA47-BB47+BC47+BE47-BF47+BG47</f>
        <v/>
      </c>
      <c r="BO47" s="51">
        <f>BJ47-BK47+BL47</f>
        <v/>
      </c>
      <c r="BP47" s="51">
        <f>IF((+BI47*0.08)&lt;BJ47,0,(+BI47*0.08)-BJ47)</f>
        <v/>
      </c>
      <c r="BQ47" s="85">
        <f>IF(BI47&lt;&gt;0,+BJ47/BI47,0)</f>
        <v/>
      </c>
      <c r="BR47" s="51" t="n"/>
      <c r="BS47" s="51" t="n"/>
      <c r="BT47" s="51" t="n"/>
      <c r="BU47" s="51" t="n"/>
      <c r="BV47" s="51" t="n"/>
      <c r="BW47" s="51" t="n"/>
      <c r="BX47" s="51" t="n"/>
      <c r="BY47" s="64" t="n"/>
    </row>
    <row r="48" ht="18" customFormat="1" customHeight="1" s="75">
      <c r="A48" s="52" t="n">
        <v>5194</v>
      </c>
      <c r="B48" s="53" t="inlineStr">
        <is>
          <t>Oyan Raffi</t>
        </is>
      </c>
      <c r="C48" s="55" t="n"/>
      <c r="D48" s="47" t="n"/>
      <c r="E48" s="48" t="n"/>
      <c r="F48" s="49" t="n"/>
      <c r="G48" s="50" t="n"/>
      <c r="H48" s="47" t="n"/>
      <c r="I48" s="48" t="n"/>
      <c r="J48" s="49" t="n"/>
      <c r="K48" s="51" t="n"/>
      <c r="L48" s="47" t="n"/>
      <c r="M48" s="48" t="n"/>
      <c r="N48" s="49" t="n"/>
      <c r="O48" s="51" t="n"/>
      <c r="P48" s="47" t="n"/>
      <c r="Q48" s="48" t="n"/>
      <c r="R48" s="49" t="n"/>
      <c r="S48" s="51" t="n"/>
      <c r="T48" s="47" t="n"/>
      <c r="U48" s="48" t="n"/>
      <c r="V48" s="49" t="n"/>
      <c r="W48" s="51" t="n"/>
      <c r="X48" s="82" t="n"/>
      <c r="Y48" s="48" t="n"/>
      <c r="Z48" s="49" t="n"/>
      <c r="AA48" s="51" t="n"/>
      <c r="AB48" s="47" t="n"/>
      <c r="AC48" s="48" t="n"/>
      <c r="AD48" s="49" t="n"/>
      <c r="AE48" s="51" t="n"/>
      <c r="AF48" s="82" t="n"/>
      <c r="AG48" s="48" t="n"/>
      <c r="AH48" s="49" t="n"/>
      <c r="AI48" s="51" t="n"/>
      <c r="AJ48" s="82" t="n"/>
      <c r="AK48" s="48" t="n"/>
      <c r="AL48" s="49" t="n"/>
      <c r="AM48" s="51" t="n"/>
      <c r="AN48" s="101" t="n"/>
      <c r="AO48" s="48" t="n"/>
      <c r="AP48" s="49" t="n"/>
      <c r="AQ48" s="51" t="n"/>
      <c r="AR48" s="47" t="n"/>
      <c r="AS48" s="48" t="n"/>
      <c r="AT48" s="49" t="n"/>
      <c r="AU48" s="51" t="n"/>
      <c r="AV48" s="47" t="n"/>
      <c r="AW48" s="48" t="n"/>
      <c r="AX48" s="49" t="n"/>
      <c r="AY48" s="50" t="n"/>
      <c r="AZ48" s="47" t="n"/>
      <c r="BA48" s="48" t="n"/>
      <c r="BB48" s="49" t="n"/>
      <c r="BC48" s="50" t="n"/>
      <c r="BD48" s="51" t="n"/>
      <c r="BE48" s="48" t="n"/>
      <c r="BF48" s="49" t="n"/>
      <c r="BG48" s="50" t="n"/>
      <c r="BH48" s="64" t="n"/>
      <c r="BI48" s="51">
        <f>+D48+H48+L48+P48+T48+X48+AB48+AF48+AJ48+AN48+AR48+AV48+AZ48+BD48</f>
        <v/>
      </c>
      <c r="BJ48" s="51">
        <f>+E48+I48+M48+Q48+U48+Y48+AC48+AG48+AK48+AO48+AS48+AW48+BA48+BE48</f>
        <v/>
      </c>
      <c r="BK48" s="51">
        <f>+F48+J48+N48+R48+V49+Z48+AD48+AH48+AL48+AP48+AT48+AX48+BB48+BF48</f>
        <v/>
      </c>
      <c r="BL48" s="51">
        <f>+G48+K48+O48+S48+W48+AA48+AE48+AI48+AM48+AQ48+AU48+AY48+BC48+BG48</f>
        <v/>
      </c>
      <c r="BM48" s="51">
        <f>+E48-F48+G48+I48-J48+K48+M48-N48+O48+Q48-R48+S48+U48-V49+W48+Y48-Z48+AA48+AC48-AD48+AE48</f>
        <v/>
      </c>
      <c r="BN48" s="51">
        <f>+AG48-AH48+AI48+AK48-AL48+AM48+AO48-AP48+AQ48+AS48-AT48+AU48+AW48-AX48+AY48+BA48-BB48+BC48+BE48-BF48+BG48</f>
        <v/>
      </c>
      <c r="BO48" s="51">
        <f>BJ48-BK48+BL48</f>
        <v/>
      </c>
      <c r="BP48" s="51">
        <f>IF((+BI48*0.08)&lt;BJ48,0,(+BI48*0.08)-BJ48)</f>
        <v/>
      </c>
      <c r="BQ48" s="85">
        <f>IF(BI48&lt;&gt;0,+BJ48/BI48,0)</f>
        <v/>
      </c>
      <c r="BR48" s="51" t="n"/>
      <c r="BS48" s="51" t="n"/>
      <c r="BT48" s="51" t="n"/>
      <c r="BU48" s="51" t="n"/>
      <c r="BV48" s="51" t="n"/>
      <c r="BW48" s="51" t="n"/>
      <c r="BX48" s="51" t="n"/>
      <c r="BY48" s="64" t="n"/>
    </row>
    <row r="49" ht="18" customFormat="1" customHeight="1" s="75">
      <c r="A49" s="52" t="n">
        <v>4892</v>
      </c>
      <c r="B49" s="53" t="inlineStr">
        <is>
          <t>Quagliarielle Claudia</t>
        </is>
      </c>
      <c r="C49" s="55" t="n"/>
      <c r="D49" s="47" t="n"/>
      <c r="E49" s="48" t="n"/>
      <c r="F49" s="49" t="n"/>
      <c r="G49" s="50" t="n"/>
      <c r="H49" s="47" t="n"/>
      <c r="I49" s="48" t="n"/>
      <c r="J49" s="49" t="n"/>
      <c r="K49" s="51" t="n"/>
      <c r="L49" s="47" t="n"/>
      <c r="M49" s="48" t="n"/>
      <c r="N49" s="49" t="n"/>
      <c r="O49" s="51" t="n"/>
      <c r="P49" s="96" t="n"/>
      <c r="Q49" s="48" t="n"/>
      <c r="R49" s="49" t="n"/>
      <c r="S49" s="51" t="n"/>
      <c r="T49" s="47" t="n"/>
      <c r="U49" s="48" t="n"/>
      <c r="V49" s="49" t="n"/>
      <c r="W49" s="51" t="n"/>
      <c r="X49" s="110" t="n"/>
      <c r="Z49" s="49" t="n"/>
      <c r="AA49" s="51" t="n"/>
      <c r="AB49" s="47" t="n"/>
      <c r="AC49" s="48" t="n"/>
      <c r="AD49" s="49" t="n"/>
      <c r="AE49" s="51" t="n"/>
      <c r="AF49" s="82" t="n"/>
      <c r="AG49" s="48" t="n"/>
      <c r="AH49" s="49" t="n"/>
      <c r="AI49" s="51" t="n"/>
      <c r="AJ49" s="82" t="n"/>
      <c r="AK49" s="48" t="n"/>
      <c r="AL49" s="49" t="n"/>
      <c r="AM49" s="51" t="n"/>
      <c r="AN49" s="101" t="n"/>
      <c r="AO49" s="48" t="n"/>
      <c r="AP49" s="49" t="n"/>
      <c r="AQ49" s="51" t="n"/>
      <c r="AR49" s="47" t="n"/>
      <c r="AS49" s="48" t="n"/>
      <c r="AT49" s="49" t="n"/>
      <c r="AU49" s="51" t="n"/>
      <c r="AV49" s="47" t="n"/>
      <c r="AW49" s="48" t="n"/>
      <c r="AX49" s="49" t="n"/>
      <c r="AY49" s="50" t="n"/>
      <c r="AZ49" s="47" t="n"/>
      <c r="BA49" s="48" t="n"/>
      <c r="BB49" s="49" t="n"/>
      <c r="BC49" s="50" t="n"/>
      <c r="BD49" s="47" t="n"/>
      <c r="BE49" s="48" t="n"/>
      <c r="BF49" s="49" t="n"/>
      <c r="BG49" s="50" t="n"/>
      <c r="BH49" s="64" t="n"/>
      <c r="BI49" s="51">
        <f>+D49+H49+L49+P49+T49+X49+AB49+AF49+AJ49+AN49+AR49+AV49+AZ49+BD49</f>
        <v/>
      </c>
      <c r="BJ49" s="51">
        <f>+E49+I49+M49+Q49+U49+Y49+AC49+AG49+AK49+AO49+AS49+AW49+BA49+BE49</f>
        <v/>
      </c>
      <c r="BK49" s="51">
        <f>+F49+J49+N49+R49+V50+Z49+AD49+AH49+AL49+AP49+AT49+AX49+BB49+BF49</f>
        <v/>
      </c>
      <c r="BL49" s="51">
        <f>+G49+K49+O49+S49+W49+AA49+AE49+AI49+AM49+AQ49+AU49+AY49+BC49+BG49</f>
        <v/>
      </c>
      <c r="BM49" s="51">
        <f>+E49-F49+G49+I49-J49+K49+M49-N49+O49+Q49-R49+S49+U49-V50+W49+Y49-Z49+AA49+AC49-AD49+AE49</f>
        <v/>
      </c>
      <c r="BN49" s="51">
        <f>+AG49-AH49+AI49+AK49-AL49+AM49+AO49-AP49+AQ49+AS49-AT49+AU49+AW49-AX49+AY49+BA49-BB49+BC49+BE49-BF49+BG49</f>
        <v/>
      </c>
      <c r="BO49" s="51">
        <f>BJ49-BK49+BL49</f>
        <v/>
      </c>
      <c r="BP49" s="51">
        <f>IF((+BI49*0.08)&lt;BJ49,0,(+BI49*0.08)-BJ49)</f>
        <v/>
      </c>
      <c r="BQ49" s="85">
        <f>IF(BI49&lt;&gt;0,+BJ49/BI49,0)</f>
        <v/>
      </c>
      <c r="BR49" s="51" t="n"/>
      <c r="BS49" s="51" t="n"/>
      <c r="BT49" s="51" t="n"/>
      <c r="BU49" s="51" t="n"/>
      <c r="BV49" s="51" t="n"/>
      <c r="BW49" s="51" t="n"/>
      <c r="BX49" s="51" t="n"/>
      <c r="BY49" s="64" t="n"/>
    </row>
    <row r="50" ht="18" customFormat="1" customHeight="1" s="75">
      <c r="A50" s="52" t="n">
        <v>93399</v>
      </c>
      <c r="B50" s="53" t="inlineStr">
        <is>
          <t>Quesnel Sébastien</t>
        </is>
      </c>
      <c r="C50" s="53" t="n"/>
      <c r="D50" s="47" t="n"/>
      <c r="E50" s="48" t="n"/>
      <c r="F50" s="49" t="n"/>
      <c r="G50" s="50" t="n"/>
      <c r="H50" s="51" t="n"/>
      <c r="I50" s="48" t="n"/>
      <c r="J50" s="49" t="n"/>
      <c r="K50" s="51" t="n"/>
      <c r="L50" s="47" t="n"/>
      <c r="M50" s="48" t="n"/>
      <c r="N50" s="49" t="n"/>
      <c r="O50" s="51" t="n"/>
      <c r="P50" s="47" t="n"/>
      <c r="Q50" s="48" t="n"/>
      <c r="R50" s="49" t="n"/>
      <c r="S50" s="51" t="n"/>
      <c r="T50" s="47" t="n"/>
      <c r="U50" s="48" t="n"/>
      <c r="V50" s="49" t="n"/>
      <c r="W50" s="50" t="n"/>
      <c r="X50" s="82" t="n"/>
      <c r="Y50" s="48" t="n"/>
      <c r="Z50" s="49" t="n"/>
      <c r="AA50" s="50" t="n"/>
      <c r="AB50" s="47" t="n"/>
      <c r="AC50" s="48" t="n"/>
      <c r="AD50" s="49" t="n"/>
      <c r="AE50" s="50" t="n"/>
      <c r="AF50" s="82" t="n"/>
      <c r="AG50" s="48" t="n"/>
      <c r="AH50" s="49" t="n"/>
      <c r="AI50" s="50" t="n"/>
      <c r="AJ50" s="82" t="n"/>
      <c r="AK50" s="48" t="n"/>
      <c r="AL50" s="49" t="n"/>
      <c r="AM50" s="50" t="n"/>
      <c r="AN50" s="97" t="n"/>
      <c r="AO50" s="48" t="n"/>
      <c r="AP50" s="49" t="n"/>
      <c r="AQ50" s="50" t="n"/>
      <c r="AR50" s="47" t="n"/>
      <c r="AS50" s="48" t="n"/>
      <c r="AT50" s="49" t="n"/>
      <c r="AU50" s="51" t="n"/>
      <c r="AV50" s="47" t="n"/>
      <c r="AW50" s="48" t="n"/>
      <c r="AX50" s="49" t="n"/>
      <c r="AY50" s="50" t="n"/>
      <c r="AZ50" s="51" t="n"/>
      <c r="BA50" s="48" t="n"/>
      <c r="BB50" s="49" t="n"/>
      <c r="BC50" s="50" t="n"/>
      <c r="BD50" s="51" t="n"/>
      <c r="BE50" s="48" t="n"/>
      <c r="BF50" s="49" t="n"/>
      <c r="BG50" s="50" t="n"/>
      <c r="BH50" s="64" t="n"/>
      <c r="BI50" s="51">
        <f>+D50+H50+L50+P50+T50+X50+AB50+AF50+AJ50+AN50+AR50+AV50+AZ50+BD50</f>
        <v/>
      </c>
      <c r="BJ50" s="51">
        <f>+E50+I50+M50+Q50+U50+Y50+AC50+AG50+AK50+AO50+AS50+AW50+BA50+BE50</f>
        <v/>
      </c>
      <c r="BK50" s="51">
        <f>+F50+J50+N50+R50+V51+Z50+AD50+AH50+AL50+AP50+AT50+AX50+BB50+BF50</f>
        <v/>
      </c>
      <c r="BL50" s="51">
        <f>+G50+K50+O50+S50+W50+AA50+AE50+AI50+AM50+AQ50+AU50+AY50+BC50+BG50</f>
        <v/>
      </c>
      <c r="BM50" s="51">
        <f>+E50-F50+G50+I50-J50+K50+M50-N50+O50+Q50-R50+S50+U50-V51+W50+Y50-Z50+AA50+AC50-AD50+AE50</f>
        <v/>
      </c>
      <c r="BN50" s="51">
        <f>+AG50-AH50+AI50+AK50-AL50+AM50+AO50-AP50+AQ50+AS50-AT50+AU50+AW50-AX50+AY50+BA50-BB50+BC50+BE50-BF50+BG50</f>
        <v/>
      </c>
      <c r="BO50" s="51">
        <f>BJ50-BK50+BL50</f>
        <v/>
      </c>
      <c r="BP50" s="51">
        <f>IF((+BI50*0.08)&lt;BJ50,0,(+BI50*0.08)-BJ50)</f>
        <v/>
      </c>
      <c r="BQ50" s="85">
        <f>IF(BI50&lt;&gt;0,+BJ50/BI50,0)</f>
        <v/>
      </c>
      <c r="BR50" s="64" t="n"/>
      <c r="BS50" s="64" t="n"/>
      <c r="BT50" s="64" t="n"/>
      <c r="BU50" s="64" t="n"/>
      <c r="BV50" s="64" t="n"/>
      <c r="BW50" s="64" t="n"/>
      <c r="BX50" s="64" t="n"/>
      <c r="BY50" s="64" t="n"/>
    </row>
    <row r="51" ht="18" customFormat="1" customHeight="1" s="75">
      <c r="A51" s="52" t="n">
        <v>5795</v>
      </c>
      <c r="B51" s="53" t="inlineStr">
        <is>
          <t>Rancourt Adelaide</t>
        </is>
      </c>
      <c r="C51" s="53" t="n"/>
      <c r="D51" s="51" t="n"/>
      <c r="E51" s="48" t="n"/>
      <c r="F51" s="49" t="n"/>
      <c r="G51" s="50" t="n"/>
      <c r="H51" s="51" t="n"/>
      <c r="I51" s="48" t="n"/>
      <c r="J51" s="49" t="n"/>
      <c r="K51" s="51" t="n"/>
      <c r="L51" s="47" t="n"/>
      <c r="M51" s="48" t="n"/>
      <c r="N51" s="49" t="n"/>
      <c r="O51" s="51" t="n"/>
      <c r="P51" s="47" t="n"/>
      <c r="Q51" s="48" t="n"/>
      <c r="R51" s="49" t="n"/>
      <c r="S51" s="51" t="n"/>
      <c r="T51" s="47" t="n"/>
      <c r="U51" s="48" t="n"/>
      <c r="V51" s="49" t="n"/>
      <c r="W51" s="50" t="n"/>
      <c r="X51" s="51" t="n"/>
      <c r="Y51" s="48" t="n"/>
      <c r="Z51" s="49" t="n"/>
      <c r="AA51" s="50" t="n"/>
      <c r="AB51" s="47" t="n"/>
      <c r="AC51" s="48" t="n"/>
      <c r="AD51" s="49" t="n"/>
      <c r="AE51" s="50" t="n"/>
      <c r="AF51" s="82" t="n"/>
      <c r="AG51" s="48" t="n"/>
      <c r="AH51" s="49" t="n"/>
      <c r="AI51" s="50" t="n"/>
      <c r="AJ51" s="82" t="n"/>
      <c r="AK51" s="48" t="n"/>
      <c r="AL51" s="49" t="n"/>
      <c r="AM51" s="50" t="n"/>
      <c r="AN51" s="97" t="n"/>
      <c r="AO51" s="48" t="n"/>
      <c r="AP51" s="49" t="n"/>
      <c r="AQ51" s="50" t="n"/>
      <c r="AR51" s="51" t="n"/>
      <c r="AS51" s="48" t="n"/>
      <c r="AT51" s="49" t="n"/>
      <c r="AU51" s="51" t="n"/>
      <c r="AV51" s="47" t="n"/>
      <c r="AW51" s="48" t="n"/>
      <c r="AX51" s="49" t="n"/>
      <c r="AY51" s="50" t="n"/>
      <c r="AZ51" s="51" t="n"/>
      <c r="BA51" s="48" t="n"/>
      <c r="BB51" s="49" t="n"/>
      <c r="BC51" s="50" t="n"/>
      <c r="BD51" s="51" t="n"/>
      <c r="BE51" s="48" t="n"/>
      <c r="BF51" s="49" t="n"/>
      <c r="BG51" s="50" t="n"/>
      <c r="BH51" s="64" t="n"/>
      <c r="BI51" s="51">
        <f>+D51+H51+L51+P51+T51+X51+AB51+AF51+AJ51+AN51+AR51+AV51+AZ51+BD51</f>
        <v/>
      </c>
      <c r="BJ51" s="51">
        <f>+E51+I51+M51+Q51+U51+Y51+AC51+AG51+AK51+AO51+AS51+AW51+BA51+BE51</f>
        <v/>
      </c>
      <c r="BK51" s="51">
        <f>+F51+J51+N51+R51+V52+Z51+AD51+AH51+AL51+AP51+AT51+AX51+BB51+BF51</f>
        <v/>
      </c>
      <c r="BL51" s="51">
        <f>+G51+K51+O51+S51+W51+AA51+AE51+AI51+AM51+AQ51+AU51+AY51+BC51+BG51</f>
        <v/>
      </c>
      <c r="BM51" s="51">
        <f>+E51-F51+G51+I51-J51+K51+M51-N51+O51+Q51-R51+S51+U51-V52+W51+Y51-Z51+AA51+AC51-AD51+AE51</f>
        <v/>
      </c>
      <c r="BN51" s="51">
        <f>+AG51-AH51+AI51+AK51-AL51+AM51+AO51-AP51+AQ51+AS51-AT51+AU51+AW51-AX51+AY51+BA51-BB51+BC51+BE51-BF51+BG51</f>
        <v/>
      </c>
      <c r="BO51" s="51">
        <f>BJ51-BK51+BL51</f>
        <v/>
      </c>
      <c r="BP51" s="51">
        <f>IF((+BI51*0.08)&lt;BJ51,0,(+BI51*0.08)-BJ51)</f>
        <v/>
      </c>
      <c r="BQ51" s="85">
        <f>IF(BI51&lt;&gt;0,+BJ51/BI51,0)</f>
        <v/>
      </c>
      <c r="BR51" s="64" t="n"/>
      <c r="BS51" s="64" t="n"/>
      <c r="BT51" s="64" t="n"/>
      <c r="BU51" s="64" t="n"/>
      <c r="BV51" s="64" t="n"/>
      <c r="BW51" s="64" t="n"/>
      <c r="BX51" s="64" t="n"/>
      <c r="BY51" s="64" t="n"/>
    </row>
    <row r="52" ht="17.25" customFormat="1" customHeight="1" s="75">
      <c r="A52" s="56" t="n">
        <v>287</v>
      </c>
      <c r="B52" s="53" t="inlineStr">
        <is>
          <t>Rivet Stephane</t>
        </is>
      </c>
      <c r="C52" s="55" t="n"/>
      <c r="D52" s="47" t="n"/>
      <c r="E52" s="48" t="n"/>
      <c r="F52" s="49" t="n"/>
      <c r="G52" s="50" t="n"/>
      <c r="H52" s="51" t="n"/>
      <c r="I52" s="48" t="n"/>
      <c r="J52" s="49" t="n"/>
      <c r="K52" s="51" t="n"/>
      <c r="L52" s="47" t="n"/>
      <c r="M52" s="48" t="n"/>
      <c r="N52" s="49" t="n"/>
      <c r="O52" s="51" t="n"/>
      <c r="P52" s="47" t="n"/>
      <c r="Q52" s="48" t="n"/>
      <c r="R52" s="49" t="n"/>
      <c r="S52" s="51" t="n"/>
      <c r="T52" s="47" t="n"/>
      <c r="U52" s="48" t="n"/>
      <c r="V52" s="49" t="n"/>
      <c r="W52" s="50" t="n"/>
      <c r="X52" s="82" t="n"/>
      <c r="Y52" s="48" t="n"/>
      <c r="Z52" s="49" t="n"/>
      <c r="AA52" s="50" t="n"/>
      <c r="AB52" s="47" t="n"/>
      <c r="AC52" s="48" t="n"/>
      <c r="AD52" s="49" t="n"/>
      <c r="AE52" s="50" t="n"/>
      <c r="AF52" s="82" t="n"/>
      <c r="AG52" s="48" t="n"/>
      <c r="AH52" s="49" t="n"/>
      <c r="AI52" s="50" t="n"/>
      <c r="AJ52" s="82" t="n"/>
      <c r="AK52" s="48" t="n"/>
      <c r="AL52" s="49" t="n"/>
      <c r="AM52" s="50" t="n"/>
      <c r="AN52" s="97" t="n"/>
      <c r="AO52" s="48" t="n"/>
      <c r="AP52" s="49" t="n"/>
      <c r="AQ52" s="50" t="n"/>
      <c r="AR52" s="47" t="n"/>
      <c r="AS52" s="48" t="n"/>
      <c r="AT52" s="49" t="n"/>
      <c r="AU52" s="50" t="n"/>
      <c r="AV52" s="47" t="n"/>
      <c r="AW52" s="48" t="n"/>
      <c r="AX52" s="49" t="n"/>
      <c r="AY52" s="50" t="n"/>
      <c r="AZ52" s="47" t="n"/>
      <c r="BA52" s="48" t="n"/>
      <c r="BB52" s="49" t="n"/>
      <c r="BC52" s="50" t="n"/>
      <c r="BD52" s="51" t="n"/>
      <c r="BE52" s="48" t="n"/>
      <c r="BF52" s="49" t="n"/>
      <c r="BG52" s="50" t="n"/>
      <c r="BH52" s="64" t="n"/>
      <c r="BI52" s="51">
        <f>+D52+H52+L52+P52+T52+X52+AB52+AF52+AJ52+AN52+AR52+AV52+AZ52+BD52</f>
        <v/>
      </c>
      <c r="BJ52" s="51">
        <f>+E52+I52+M52+Q52+U52+Y52+AC52+AG52+AK52+AO52+AS52+AW52+BA52+BE52</f>
        <v/>
      </c>
      <c r="BK52" s="51">
        <f>+F52+J52+N52+R52+V53+Z52+AD52+AH52+AL52+AP52+AT52+AX52+BB52+BF52</f>
        <v/>
      </c>
      <c r="BL52" s="51">
        <f>+G52+K52+O52+S52+W52+AA52+AE52+AI52+AM52+AQ52+AU52+AY52+BC52+BG52</f>
        <v/>
      </c>
      <c r="BM52" s="51">
        <f>+E52-F52+G52+I52-J52+K52+M52-N52+O52+Q52-R52+S52+U52-V53+W52+Y52-Z52+AA52+AC52-AD52+AE52</f>
        <v/>
      </c>
      <c r="BN52" s="51">
        <f>+AG52-AH52+AI52+AK52-AL52+AM52+AO52-AP52+AQ52+AS52-AT52+AU52+AW52-AX52+AY52+BA52-BB52+BC52+BE52-BF52+BG52</f>
        <v/>
      </c>
      <c r="BO52" s="51">
        <f>BJ52-BK52+BL52</f>
        <v/>
      </c>
      <c r="BP52" s="51">
        <f>IF((+BI52*0.08)&lt;BJ52,0,(+BI52*0.08)-BJ52)</f>
        <v/>
      </c>
      <c r="BQ52" s="85">
        <f>IF(BI52&lt;&gt;0,+BJ52/BI52,0)</f>
        <v/>
      </c>
      <c r="BR52" s="51" t="n"/>
      <c r="BS52" s="51" t="n"/>
      <c r="BT52" s="51" t="n"/>
      <c r="BU52" s="51" t="n"/>
      <c r="BV52" s="51" t="n"/>
      <c r="BW52" s="51" t="n"/>
      <c r="BX52" s="51" t="n"/>
      <c r="BY52" s="64" t="n"/>
    </row>
    <row r="53" ht="18" customFormat="1" customHeight="1" s="75">
      <c r="A53" s="52" t="n">
        <v>5775</v>
      </c>
      <c r="B53" s="53" t="inlineStr">
        <is>
          <t>Roy Florence</t>
        </is>
      </c>
      <c r="C53" s="54" t="n"/>
      <c r="D53" s="47" t="n"/>
      <c r="E53" s="48" t="n"/>
      <c r="F53" s="49" t="n"/>
      <c r="G53" s="50" t="n"/>
      <c r="H53" s="51" t="n"/>
      <c r="I53" s="48" t="n"/>
      <c r="J53" s="49" t="n"/>
      <c r="K53" s="51" t="n"/>
      <c r="L53" s="47" t="n"/>
      <c r="M53" s="48" t="n"/>
      <c r="N53" s="49" t="n"/>
      <c r="O53" s="51" t="n"/>
      <c r="P53" s="47" t="n"/>
      <c r="Q53" s="48" t="n"/>
      <c r="R53" s="49" t="n"/>
      <c r="S53" s="51" t="n"/>
      <c r="T53" s="47" t="n"/>
      <c r="U53" s="48" t="n"/>
      <c r="V53" s="49" t="n"/>
      <c r="W53" s="50" t="n"/>
      <c r="X53" s="82" t="n"/>
      <c r="Y53" s="48" t="n"/>
      <c r="Z53" s="49" t="n"/>
      <c r="AA53" s="50" t="n"/>
      <c r="AB53" s="47" t="n"/>
      <c r="AC53" s="48" t="n"/>
      <c r="AD53" s="49" t="n"/>
      <c r="AE53" s="50" t="n"/>
      <c r="AF53" s="82" t="n"/>
      <c r="AG53" s="48" t="n"/>
      <c r="AH53" s="49" t="n"/>
      <c r="AI53" s="50" t="n"/>
      <c r="AJ53" s="82" t="n"/>
      <c r="AK53" s="48" t="n"/>
      <c r="AL53" s="49" t="n"/>
      <c r="AM53" s="50" t="n"/>
      <c r="AN53" s="97" t="n"/>
      <c r="AO53" s="48" t="n"/>
      <c r="AP53" s="49" t="n"/>
      <c r="AQ53" s="50" t="n"/>
      <c r="AR53" s="47" t="n"/>
      <c r="AS53" s="48" t="n"/>
      <c r="AT53" s="49" t="n"/>
      <c r="AU53" s="50" t="n"/>
      <c r="AV53" s="51" t="n"/>
      <c r="AW53" s="48" t="n"/>
      <c r="AX53" s="49" t="n"/>
      <c r="AY53" s="50" t="n"/>
      <c r="AZ53" s="51" t="n"/>
      <c r="BA53" s="48" t="n"/>
      <c r="BB53" s="49" t="n"/>
      <c r="BC53" s="50" t="n"/>
      <c r="BD53" s="51" t="n"/>
      <c r="BE53" s="48" t="n"/>
      <c r="BF53" s="49" t="n"/>
      <c r="BG53" s="50" t="n"/>
      <c r="BH53" s="64" t="n"/>
      <c r="BI53" s="51">
        <f>+D53+H53+L53+P53+T53+X53+AB53+AF53+AJ53+AN53+AR53+AV53+AZ53+BD53</f>
        <v/>
      </c>
      <c r="BJ53" s="51">
        <f>+E53+I53+M53+Q53+U53+Y53+AC53+AG53+AK53+AO53+AS53+AW53+BA53+BE53</f>
        <v/>
      </c>
      <c r="BK53" s="51">
        <f>+F53+J53+N53+R53+V54+Z53+AD53+AH53+AL53+AP53+AT53+AX53+BB53+BF53</f>
        <v/>
      </c>
      <c r="BL53" s="51">
        <f>+G53+K53+O53+S53+W53+AA53+AE53+AI53+AM53+AQ53+AU53+AY53+BC53+BG53</f>
        <v/>
      </c>
      <c r="BM53" s="51">
        <f>+E53-F53+G53+I53-J53+K53+M53-N53+O53+Q53-R53+S53+U53-V54+W53+Y53-Z53+AA53+AC53-AD53+AE53</f>
        <v/>
      </c>
      <c r="BN53" s="51">
        <f>+AG53-AH53+AI53+AK53-AL53+AM53+AO53-AP53+AQ53+AS53-AT53+AU53+AW53-AX53+AY53+BA53-BB53+BC53+BE53-BF53+BG53</f>
        <v/>
      </c>
      <c r="BO53" s="51">
        <f>BJ53-BK53+BL53</f>
        <v/>
      </c>
      <c r="BP53" s="51">
        <f>IF((+BI53*0.08)&lt;BJ53,0,(+BI53*0.08)-BJ53)</f>
        <v/>
      </c>
      <c r="BQ53" s="85">
        <f>IF(BI53&lt;&gt;0,+BJ53/BI53,0)</f>
        <v/>
      </c>
      <c r="BR53" s="64" t="n"/>
      <c r="BS53" s="64" t="n"/>
      <c r="BT53" s="64" t="n"/>
      <c r="BU53" s="64" t="n"/>
      <c r="BV53" s="64" t="n"/>
      <c r="BW53" s="64" t="n"/>
      <c r="BX53" s="64" t="n"/>
      <c r="BY53" s="64" t="n"/>
    </row>
    <row r="54" ht="18" customFormat="1" customHeight="1" s="75">
      <c r="A54" s="52" t="n">
        <v>92899</v>
      </c>
      <c r="B54" s="53" t="inlineStr">
        <is>
          <t>Rodrigue Jean</t>
        </is>
      </c>
      <c r="C54" s="55" t="n"/>
      <c r="D54" s="47" t="n"/>
      <c r="E54" s="48" t="n"/>
      <c r="F54" s="49" t="n"/>
      <c r="G54" s="50" t="n"/>
      <c r="H54" s="51" t="n"/>
      <c r="I54" s="48" t="n"/>
      <c r="J54" s="49" t="n"/>
      <c r="K54" s="51" t="n"/>
      <c r="L54" s="47" t="n"/>
      <c r="M54" s="48" t="n"/>
      <c r="N54" s="49" t="n"/>
      <c r="O54" s="51" t="n"/>
      <c r="P54" s="47" t="n"/>
      <c r="Q54" s="48" t="n"/>
      <c r="R54" s="49" t="n"/>
      <c r="S54" s="51" t="n"/>
      <c r="T54" s="47" t="n"/>
      <c r="U54" s="48" t="n"/>
      <c r="V54" s="49" t="n"/>
      <c r="W54" s="50" t="n"/>
      <c r="X54" s="82" t="n"/>
      <c r="Y54" s="48" t="n"/>
      <c r="Z54" s="49" t="n"/>
      <c r="AA54" s="50" t="n"/>
      <c r="AB54" s="47" t="n"/>
      <c r="AC54" s="48" t="n"/>
      <c r="AD54" s="49" t="n"/>
      <c r="AE54" s="50" t="n"/>
      <c r="AF54" s="82" t="n"/>
      <c r="AG54" s="48" t="n"/>
      <c r="AH54" s="49" t="n"/>
      <c r="AI54" s="50" t="n"/>
      <c r="AJ54" s="82" t="n"/>
      <c r="AK54" s="48" t="n"/>
      <c r="AL54" s="49" t="n"/>
      <c r="AM54" s="50" t="n"/>
      <c r="AN54" s="97" t="n"/>
      <c r="AO54" s="48" t="n"/>
      <c r="AP54" s="49" t="n"/>
      <c r="AQ54" s="50" t="n"/>
      <c r="AR54" s="47" t="n"/>
      <c r="AS54" s="48" t="n"/>
      <c r="AT54" s="49" t="n"/>
      <c r="AU54" s="50" t="n"/>
      <c r="AV54" s="51" t="n"/>
      <c r="AW54" s="48" t="n"/>
      <c r="AX54" s="49" t="n"/>
      <c r="AY54" s="50" t="n"/>
      <c r="AZ54" s="51" t="n"/>
      <c r="BA54" s="48" t="n"/>
      <c r="BB54" s="49" t="n"/>
      <c r="BC54" s="50" t="n"/>
      <c r="BD54" s="51" t="n"/>
      <c r="BE54" s="48" t="n"/>
      <c r="BF54" s="49" t="n"/>
      <c r="BG54" s="50" t="n"/>
      <c r="BH54" s="64" t="n"/>
      <c r="BI54" s="51">
        <f>+D54+H54+L54+P54+T54+X54+AB54+AF54+AJ54+AN54+AR54+AV54+AZ54+BD54</f>
        <v/>
      </c>
      <c r="BJ54" s="51">
        <f>+E54+I54+M54+Q54+U54+Y54+AC54+AG54+AK54+AO54+AS54+AW54+BA54+BE54</f>
        <v/>
      </c>
      <c r="BK54" s="51">
        <f>+F54+J54+N54+R54+V55+Z54+AD54+AH54+AL54+AP54+AT54+AX54+BB54+BF54</f>
        <v/>
      </c>
      <c r="BL54" s="51">
        <f>+G54+K54+O54+S54+W54+AA54+AE54+AI54+AM54+AQ54+AU54+AY54+BC54+BG54</f>
        <v/>
      </c>
      <c r="BM54" s="51">
        <f>+E54-F54+G54+I54-J54+K54+M54-N54+O54+Q54-R54+S54+U54-V55+W54+Y54-Z54+AA54+AC54-AD54+AE54</f>
        <v/>
      </c>
      <c r="BN54" s="51">
        <f>+AG54-AH54+AI54+AK54-AL54+AM54+AO54-AP54+AQ54+AS54-AT54+AU54+AW54-AX54+AY54+BA54-BB54+BC54+BE54-BF54+BG54</f>
        <v/>
      </c>
      <c r="BO54" s="51">
        <f>BJ54-BK54+BL54</f>
        <v/>
      </c>
      <c r="BP54" s="51">
        <f>IF((+BI54*0.08)&lt;BJ54,0,(+BI54*0.08)-BJ54)</f>
        <v/>
      </c>
      <c r="BQ54" s="85">
        <f>IF(BI54&lt;&gt;0,+BJ54/BI54,0)</f>
        <v/>
      </c>
      <c r="BR54" s="51" t="n"/>
      <c r="BS54" s="51" t="n"/>
      <c r="BT54" s="51" t="n"/>
      <c r="BU54" s="51" t="n"/>
      <c r="BV54" s="51" t="n"/>
      <c r="BW54" s="51" t="n"/>
      <c r="BX54" s="51" t="n"/>
      <c r="BY54" s="64" t="n"/>
    </row>
    <row r="55" ht="18" customFormat="1" customHeight="1" s="75">
      <c r="A55" s="56" t="n">
        <v>92835</v>
      </c>
      <c r="B55" s="53" t="inlineStr">
        <is>
          <t>Rousseau Nathalie</t>
        </is>
      </c>
      <c r="C55" s="55" t="n"/>
      <c r="D55" s="47" t="n"/>
      <c r="E55" s="48" t="n"/>
      <c r="F55" s="49" t="n"/>
      <c r="G55" s="50" t="n"/>
      <c r="H55" s="51" t="n"/>
      <c r="I55" s="48" t="n"/>
      <c r="J55" s="49" t="n"/>
      <c r="K55" s="51" t="n"/>
      <c r="L55" s="47" t="n"/>
      <c r="M55" s="48" t="n"/>
      <c r="N55" s="49" t="n"/>
      <c r="O55" s="51" t="n"/>
      <c r="P55" s="47" t="n"/>
      <c r="Q55" s="48" t="n"/>
      <c r="R55" s="49" t="n"/>
      <c r="S55" s="51" t="n"/>
      <c r="T55" s="47" t="n"/>
      <c r="U55" s="48" t="n"/>
      <c r="V55" s="49" t="n"/>
      <c r="W55" s="50" t="n"/>
      <c r="X55" s="82" t="n"/>
      <c r="Y55" s="48" t="n"/>
      <c r="Z55" s="49" t="n"/>
      <c r="AA55" s="50" t="n"/>
      <c r="AB55" s="47" t="n"/>
      <c r="AC55" s="48" t="n"/>
      <c r="AD55" s="49" t="n"/>
      <c r="AE55" s="50" t="n"/>
      <c r="AF55" s="82" t="n"/>
      <c r="AG55" s="48" t="n"/>
      <c r="AH55" s="49" t="n"/>
      <c r="AI55" s="50" t="n"/>
      <c r="AJ55" s="82" t="n"/>
      <c r="AK55" s="48" t="n"/>
      <c r="AL55" s="49" t="n"/>
      <c r="AM55" s="50" t="n"/>
      <c r="AN55" s="97" t="n"/>
      <c r="AO55" s="48" t="n"/>
      <c r="AP55" s="49" t="n"/>
      <c r="AQ55" s="50" t="n"/>
      <c r="AR55" s="47" t="n"/>
      <c r="AS55" s="48" t="n"/>
      <c r="AT55" s="49" t="n"/>
      <c r="AU55" s="50" t="n"/>
      <c r="AV55" s="51" t="n"/>
      <c r="AW55" s="48" t="n"/>
      <c r="AX55" s="49" t="n"/>
      <c r="AY55" s="50" t="n"/>
      <c r="AZ55" s="51" t="n"/>
      <c r="BA55" s="48" t="n"/>
      <c r="BB55" s="49" t="n"/>
      <c r="BC55" s="50" t="n"/>
      <c r="BD55" s="51" t="n"/>
      <c r="BE55" s="48" t="n"/>
      <c r="BF55" s="49" t="n"/>
      <c r="BG55" s="50" t="n"/>
      <c r="BH55" s="64" t="n"/>
      <c r="BI55" s="51">
        <f>+D55+H55+L55+P55+T55+X55+AB55+AF55+AJ55+AN55+AR55+AV55+AZ55+BD55</f>
        <v/>
      </c>
      <c r="BJ55" s="51">
        <f>+E55+I55+M55+Q55+U55+Y55+AC55+AG55+AK55+AO55+AS55+AW55+BA55+BE55</f>
        <v/>
      </c>
      <c r="BK55" s="51">
        <f>+F55+J55+N55+R55+V56+Z55+AD55+AH55+AL55+AP55+AT55+AX55+BB55+BF55</f>
        <v/>
      </c>
      <c r="BL55" s="51">
        <f>+G55+K55+O55+S55+W55+AA55+AE55+AI55+AM55+AQ55+AU55+AY55+BC55+BG55</f>
        <v/>
      </c>
      <c r="BM55" s="51">
        <f>+E55-F55+G55+I55-J55+K55+M55-N55+O55+Q55-R55+S55+U55-V56+W55+Y55-Z55+AA55+AC55-AD55+AE55</f>
        <v/>
      </c>
      <c r="BN55" s="51">
        <f>+AG55-AH55+AI55+AK55-AL55+AM55+AO55-AP55+AQ55+AS55-AT55+AU55+AW55-AX55+AY55+BA55-BB55+BC55+BE55-BF55+BG55</f>
        <v/>
      </c>
      <c r="BO55" s="51">
        <f>BJ55-BK55+BL55</f>
        <v/>
      </c>
      <c r="BP55" s="51">
        <f>IF((+BI55*0.08)&lt;BJ55,0,(+BI55*0.08)-BJ55)</f>
        <v/>
      </c>
      <c r="BQ55" s="85">
        <f>IF(BI55&lt;&gt;0,+BJ55/BI55,0)</f>
        <v/>
      </c>
      <c r="BR55" s="51" t="n"/>
      <c r="BS55" s="51" t="n"/>
      <c r="BT55" s="51" t="n"/>
      <c r="BU55" s="51" t="n"/>
      <c r="BV55" s="51" t="n"/>
      <c r="BW55" s="51" t="n"/>
      <c r="BX55" s="51" t="n"/>
      <c r="BY55" s="64" t="n"/>
    </row>
    <row r="56" ht="18" customFormat="1" customHeight="1" s="75">
      <c r="A56" s="52" t="n">
        <v>5858</v>
      </c>
      <c r="B56" s="57" t="inlineStr">
        <is>
          <t>Samedy Jonathan</t>
        </is>
      </c>
      <c r="C56" s="55" t="n"/>
      <c r="D56" s="47" t="n"/>
      <c r="E56" s="48" t="n"/>
      <c r="F56" s="49" t="n"/>
      <c r="G56" s="50" t="n"/>
      <c r="H56" s="51" t="n"/>
      <c r="I56" s="48" t="n"/>
      <c r="J56" s="49" t="n"/>
      <c r="K56" s="51" t="n"/>
      <c r="L56" s="47" t="n"/>
      <c r="M56" s="48" t="n"/>
      <c r="N56" s="49" t="n"/>
      <c r="O56" s="51" t="n"/>
      <c r="P56" s="47" t="n"/>
      <c r="Q56" s="48" t="n"/>
      <c r="R56" s="49" t="n"/>
      <c r="S56" s="51" t="n"/>
      <c r="T56" s="47" t="n"/>
      <c r="U56" s="48" t="n"/>
      <c r="V56" s="49" t="n"/>
      <c r="W56" s="50" t="n"/>
      <c r="X56" s="109" t="n"/>
      <c r="Y56" s="48" t="n"/>
      <c r="Z56" s="49" t="n"/>
      <c r="AA56" s="50" t="n"/>
      <c r="AB56" s="47" t="n"/>
      <c r="AC56" s="48" t="n"/>
      <c r="AD56" s="49" t="n"/>
      <c r="AE56" s="50" t="n"/>
      <c r="AF56" s="82" t="n"/>
      <c r="AG56" s="48" t="n"/>
      <c r="AH56" s="49" t="n"/>
      <c r="AI56" s="50" t="n"/>
      <c r="AJ56" s="82" t="n"/>
      <c r="AK56" s="48" t="n"/>
      <c r="AL56" s="49" t="n"/>
      <c r="AM56" s="50" t="n"/>
      <c r="AN56" s="97" t="n"/>
      <c r="AO56" s="48" t="n"/>
      <c r="AP56" s="49" t="n"/>
      <c r="AQ56" s="50" t="n"/>
      <c r="AR56" s="47" t="n"/>
      <c r="AS56" s="48" t="n"/>
      <c r="AT56" s="49" t="n"/>
      <c r="AU56" s="50" t="n"/>
      <c r="AV56" s="51" t="n"/>
      <c r="AW56" s="48" t="n"/>
      <c r="AX56" s="49" t="n"/>
      <c r="AY56" s="50" t="n"/>
      <c r="AZ56" s="51" t="n"/>
      <c r="BA56" s="48" t="n"/>
      <c r="BB56" s="49" t="n"/>
      <c r="BC56" s="50" t="n"/>
      <c r="BD56" s="51" t="n"/>
      <c r="BE56" s="48" t="n"/>
      <c r="BF56" s="49" t="n"/>
      <c r="BG56" s="50" t="n"/>
      <c r="BH56" s="64" t="n"/>
      <c r="BI56" s="51">
        <f>+D56+H56+L56+P56+T56+X56+AB56+AF56+AJ56+AN56+AR56+AV56+AZ56+BD56</f>
        <v/>
      </c>
      <c r="BJ56" s="51">
        <f>+E56+I56+M56+Q56+U56+Y56+AC56+AG56+AK56+AO56+AS56+AW56+BA56+BE56</f>
        <v/>
      </c>
      <c r="BK56" s="51">
        <f>+F56+J56+N56+R56+V57+Z56+AD56+AH56+AL56+AP56+AT56+AX56+BB56+BF56</f>
        <v/>
      </c>
      <c r="BL56" s="51">
        <f>+G56+K56+O56+S56+W56+AA56+AE56+AI56+AM56+AQ56+AU56+AY56+BC56+BG56</f>
        <v/>
      </c>
      <c r="BM56" s="51">
        <f>+E56-F56+G56+I56-J56+K56+M56-N56+O56+Q56-R56+S56+U56-V57+W56+Y56-Z56+AA56+AC56-AD56+AE56</f>
        <v/>
      </c>
      <c r="BN56" s="51">
        <f>+AG56-AH56+AI56+AK56-AL56+AM56+AO56-AP56+AQ56+AS56-AT56+AU56+AW56-AX56+AY56+BA56-BB56+BC56+BE56-BF56+BG56</f>
        <v/>
      </c>
      <c r="BO56" s="51">
        <f>BJ56-BK56+BL56</f>
        <v/>
      </c>
      <c r="BP56" s="51">
        <f>IF((+BI56*0.08)&lt;BJ56,0,(+BI56*0.08)-BJ56)</f>
        <v/>
      </c>
      <c r="BQ56" s="85">
        <f>IF(BI56&lt;&gt;0,+BJ56/BI56,0)</f>
        <v/>
      </c>
      <c r="BR56" s="64" t="n"/>
      <c r="BS56" s="64" t="n"/>
      <c r="BT56" s="64" t="n"/>
      <c r="BU56" s="64" t="n"/>
      <c r="BV56" s="64" t="n"/>
      <c r="BW56" s="64" t="n"/>
      <c r="BX56" s="64" t="n"/>
      <c r="BY56" s="64" t="n"/>
    </row>
    <row r="57" ht="18" customFormat="1" customHeight="1" s="75">
      <c r="A57" s="56" t="n">
        <v>5586</v>
      </c>
      <c r="B57" s="53" t="inlineStr">
        <is>
          <t>Sauro Cynthia</t>
        </is>
      </c>
      <c r="C57" s="55" t="n"/>
      <c r="D57" s="47" t="n"/>
      <c r="E57" s="48" t="n"/>
      <c r="F57" s="49" t="n"/>
      <c r="G57" s="50" t="n"/>
      <c r="H57" s="51" t="n"/>
      <c r="I57" s="48" t="n"/>
      <c r="J57" s="49" t="n"/>
      <c r="K57" s="51" t="n"/>
      <c r="L57" s="47" t="n"/>
      <c r="M57" s="48" t="n"/>
      <c r="N57" s="49" t="n"/>
      <c r="O57" s="51" t="n"/>
      <c r="P57" s="47" t="n"/>
      <c r="Q57" s="48" t="n"/>
      <c r="R57" s="49" t="n"/>
      <c r="S57" s="51" t="n"/>
      <c r="T57" s="47" t="n"/>
      <c r="U57" s="48" t="n"/>
      <c r="V57" s="49" t="n"/>
      <c r="W57" s="50" t="n"/>
      <c r="X57" s="82" t="n"/>
      <c r="Y57" s="48" t="n"/>
      <c r="Z57" s="49" t="n"/>
      <c r="AA57" s="50" t="n"/>
      <c r="AB57" s="47" t="n"/>
      <c r="AC57" s="48" t="n"/>
      <c r="AD57" s="49" t="n"/>
      <c r="AE57" s="50" t="n"/>
      <c r="AF57" s="82" t="n"/>
      <c r="AG57" s="48" t="n"/>
      <c r="AH57" s="49" t="n"/>
      <c r="AI57" s="50" t="n"/>
      <c r="AJ57" s="82" t="n"/>
      <c r="AK57" s="48" t="n"/>
      <c r="AL57" s="49" t="n"/>
      <c r="AM57" s="50" t="n"/>
      <c r="AN57" s="97" t="n"/>
      <c r="AO57" s="48" t="n"/>
      <c r="AP57" s="49" t="n"/>
      <c r="AQ57" s="50" t="n"/>
      <c r="AR57" s="47" t="n"/>
      <c r="AS57" s="48" t="n"/>
      <c r="AT57" s="49" t="n"/>
      <c r="AU57" s="50" t="n"/>
      <c r="AV57" s="51" t="n"/>
      <c r="AW57" s="48" t="n"/>
      <c r="AX57" s="49" t="n"/>
      <c r="AY57" s="50" t="n"/>
      <c r="AZ57" s="51" t="n"/>
      <c r="BA57" s="48" t="n"/>
      <c r="BB57" s="49" t="n"/>
      <c r="BC57" s="50" t="n"/>
      <c r="BD57" s="51" t="n"/>
      <c r="BE57" s="48" t="n"/>
      <c r="BF57" s="49" t="n"/>
      <c r="BG57" s="50" t="n"/>
      <c r="BH57" s="64" t="n"/>
      <c r="BI57" s="51">
        <f>+D57+H57+L57+P57+T57+X57+AB57+AF57+AJ57+AN57+AR57+AV57+AZ57+BD57</f>
        <v/>
      </c>
      <c r="BJ57" s="51">
        <f>+E57+I57+M57+Q57+U57+Y57+AC57+AG57+AK57+AO57+AS57+AW57+BA57+BE57</f>
        <v/>
      </c>
      <c r="BK57" s="51">
        <f>+F57+J57+N57+R57+V58+Z57+AD57+AH57+AL57+AP57+AT57+AX57+BB57+BF57</f>
        <v/>
      </c>
      <c r="BL57" s="51">
        <f>+G57+K57+O57+S57+W57+AA57+AE57+AI57+AM57+AQ57+AU57+AY57+BC57+BG57</f>
        <v/>
      </c>
      <c r="BM57" s="51">
        <f>+E57-F57+G57+I57-J57+K57+M57-N57+O57+Q57-R57+S57+U57-V58+W57+Y57-Z57+AA57+AC57-AD57+AE57</f>
        <v/>
      </c>
      <c r="BN57" s="51">
        <f>+AG57-AH57+AI57+AK57-AL57+AM57+AO57-AP57+AQ57+AS57-AT57+AU57+AW57-AX57+AY57+BA57-BB57+BC57+BE57-BF57+BG57</f>
        <v/>
      </c>
      <c r="BO57" s="51">
        <f>BJ57-BK57+BL57</f>
        <v/>
      </c>
      <c r="BP57" s="51">
        <f>IF((+BI57*0.08)&lt;BJ57,0,(+BI57*0.08)-BJ57)</f>
        <v/>
      </c>
      <c r="BQ57" s="85">
        <f>IF(BI57&lt;&gt;0,+BJ57/BI57,0)</f>
        <v/>
      </c>
      <c r="BR57" s="51" t="n"/>
      <c r="BS57" s="51" t="n"/>
      <c r="BT57" s="51" t="n"/>
      <c r="BU57" s="51" t="n"/>
      <c r="BV57" s="51" t="n"/>
      <c r="BW57" s="51" t="n"/>
      <c r="BX57" s="51" t="n"/>
      <c r="BY57" s="64" t="n"/>
    </row>
    <row r="58" ht="18" customFormat="1" customHeight="1" s="75">
      <c r="A58" s="52" t="n">
        <v>93614</v>
      </c>
      <c r="B58" s="53" t="inlineStr">
        <is>
          <t>Somera Sem</t>
        </is>
      </c>
      <c r="C58" s="55" t="n"/>
      <c r="D58" s="47" t="n"/>
      <c r="E58" s="48" t="n"/>
      <c r="F58" s="49" t="n"/>
      <c r="G58" s="50" t="n"/>
      <c r="H58" s="51" t="n"/>
      <c r="I58" s="48" t="n"/>
      <c r="J58" s="49" t="n"/>
      <c r="K58" s="51" t="n"/>
      <c r="L58" s="47" t="n"/>
      <c r="M58" s="48" t="n"/>
      <c r="N58" s="49" t="n"/>
      <c r="O58" s="51" t="n"/>
      <c r="P58" s="47" t="n"/>
      <c r="Q58" s="48" t="n"/>
      <c r="R58" s="49" t="n"/>
      <c r="S58" s="51" t="n"/>
      <c r="T58" s="47" t="n"/>
      <c r="U58" s="48" t="n"/>
      <c r="V58" s="49" t="n"/>
      <c r="W58" s="50" t="n"/>
      <c r="X58" s="82" t="n"/>
      <c r="Y58" s="48" t="n"/>
      <c r="Z58" s="49" t="n"/>
      <c r="AA58" s="50" t="n"/>
      <c r="AB58" s="47" t="n"/>
      <c r="AC58" s="48" t="n"/>
      <c r="AD58" s="49" t="n"/>
      <c r="AE58" s="50" t="n"/>
      <c r="AF58" s="82" t="n"/>
      <c r="AG58" s="48" t="n"/>
      <c r="AH58" s="49" t="n"/>
      <c r="AI58" s="50" t="n"/>
      <c r="AJ58" s="82" t="n"/>
      <c r="AK58" s="48" t="n"/>
      <c r="AL58" s="49" t="n"/>
      <c r="AM58" s="50" t="n"/>
      <c r="AN58" s="97" t="n"/>
      <c r="AO58" s="48" t="n"/>
      <c r="AP58" s="49" t="n"/>
      <c r="AQ58" s="50" t="n"/>
      <c r="AR58" s="47" t="n"/>
      <c r="AS58" s="48" t="n"/>
      <c r="AT58" s="49" t="n"/>
      <c r="AU58" s="50" t="n"/>
      <c r="AV58" s="51" t="n"/>
      <c r="AW58" s="48" t="n"/>
      <c r="AX58" s="49" t="n"/>
      <c r="AY58" s="50" t="n"/>
      <c r="AZ58" s="51" t="n"/>
      <c r="BA58" s="48" t="n"/>
      <c r="BB58" s="49" t="n"/>
      <c r="BC58" s="50" t="n"/>
      <c r="BD58" s="51" t="n"/>
      <c r="BE58" s="48" t="n"/>
      <c r="BF58" s="49" t="n"/>
      <c r="BG58" s="50" t="n"/>
      <c r="BH58" s="64" t="n"/>
      <c r="BI58" s="51">
        <f>+D58+H58+L58+P58+T58+X58+AB58+AF58+AJ58+AN58+AR58+AV58+AZ58+BD58</f>
        <v/>
      </c>
      <c r="BJ58" s="51">
        <f>+E58+I58+M58+Q58+U58+Y58+AC58+AG58+AK58+AO58+AS58+AW58+BA58+BE58</f>
        <v/>
      </c>
      <c r="BK58" s="51">
        <f>+F58+J58+N58+R58+V59+Z58+AD58+AH58+AL58+AP58+AT58+AX58+BB58+BF58</f>
        <v/>
      </c>
      <c r="BL58" s="51">
        <f>+G58+K58+O58+S58+W58+AA58+AE58+AI58+AM58+AQ58+AU58+AY58+BC58+BG58</f>
        <v/>
      </c>
      <c r="BM58" s="51">
        <f>+E58-F58+G58+I58-J58+K58+M58-N58+O58+Q58-R58+S58+U58-V59+W58+Y58-Z58+AA58+AC58-AD58+AE58</f>
        <v/>
      </c>
      <c r="BN58" s="51">
        <f>+AG58-AH58+AI58+AK58-AL58+AM58+AO58-AP58+AQ58+AS58-AT58+AU58+AW58-AX58+AY58+BA58-BB58+BC58+BE58-BF58+BG58</f>
        <v/>
      </c>
      <c r="BO58" s="51">
        <f>BJ58-BK58+BL58</f>
        <v/>
      </c>
      <c r="BP58" s="51">
        <f>IF((+BI58*0.08)&lt;BJ58,0,(+BI58*0.08)-BJ58)</f>
        <v/>
      </c>
      <c r="BQ58" s="85">
        <f>IF(BI58&lt;&gt;0,+BJ58/BI58,0)</f>
        <v/>
      </c>
      <c r="BR58" s="51" t="n"/>
      <c r="BS58" s="51" t="n"/>
      <c r="BT58" s="51" t="n"/>
      <c r="BU58" s="51" t="n"/>
      <c r="BV58" s="51" t="n"/>
      <c r="BW58" s="51" t="n"/>
      <c r="BX58" s="51" t="n"/>
      <c r="BY58" s="64" t="n"/>
    </row>
    <row r="59" ht="18" customFormat="1" customHeight="1" s="75">
      <c r="A59" s="52" t="n">
        <v>93127</v>
      </c>
      <c r="B59" s="53" t="inlineStr">
        <is>
          <t>Szabo Youri</t>
        </is>
      </c>
      <c r="C59" s="55" t="n"/>
      <c r="D59" s="47" t="n"/>
      <c r="E59" s="48" t="n"/>
      <c r="F59" s="49" t="n"/>
      <c r="G59" s="50" t="n"/>
      <c r="H59" s="51" t="n"/>
      <c r="I59" s="48" t="n"/>
      <c r="J59" s="49" t="n"/>
      <c r="K59" s="51" t="n"/>
      <c r="L59" s="47" t="n"/>
      <c r="M59" s="48" t="n"/>
      <c r="N59" s="49" t="n"/>
      <c r="O59" s="50" t="n"/>
      <c r="P59" s="51" t="n"/>
      <c r="Q59" s="48" t="n"/>
      <c r="R59" s="49" t="n"/>
      <c r="S59" s="51" t="n"/>
      <c r="T59" s="47" t="n"/>
      <c r="U59" s="48" t="n"/>
      <c r="V59" s="49" t="n"/>
      <c r="W59" s="50" t="n"/>
      <c r="X59" s="82" t="n"/>
      <c r="Y59" s="48" t="n"/>
      <c r="Z59" s="49" t="n"/>
      <c r="AA59" s="50" t="n"/>
      <c r="AB59" s="47" t="n"/>
      <c r="AC59" s="48" t="n"/>
      <c r="AD59" s="49" t="n"/>
      <c r="AE59" s="50" t="n"/>
      <c r="AF59" s="82" t="n"/>
      <c r="AG59" s="48" t="n"/>
      <c r="AH59" s="49" t="n"/>
      <c r="AI59" s="50" t="n"/>
      <c r="AJ59" s="82" t="n"/>
      <c r="AK59" s="48" t="n"/>
      <c r="AL59" s="49" t="n"/>
      <c r="AM59" s="50" t="n"/>
      <c r="AN59" s="97" t="n"/>
      <c r="AO59" s="48" t="n"/>
      <c r="AP59" s="49" t="n"/>
      <c r="AQ59" s="50" t="n"/>
      <c r="AR59" s="47" t="n"/>
      <c r="AS59" s="48" t="n"/>
      <c r="AT59" s="49" t="n"/>
      <c r="AU59" s="50" t="n"/>
      <c r="AV59" s="51" t="n"/>
      <c r="AW59" s="48" t="n"/>
      <c r="AX59" s="49" t="n"/>
      <c r="AY59" s="50" t="n"/>
      <c r="AZ59" s="51" t="n"/>
      <c r="BA59" s="48" t="n"/>
      <c r="BB59" s="49" t="n"/>
      <c r="BC59" s="50" t="n"/>
      <c r="BD59" s="51" t="n"/>
      <c r="BE59" s="48" t="n"/>
      <c r="BF59" s="49" t="n"/>
      <c r="BG59" s="50" t="n"/>
      <c r="BH59" s="64" t="n"/>
      <c r="BI59" s="51">
        <f>+D59+H59+L59+P59+T59+X59+AB59+AF59+AJ59+AN59+AR59+AV59+AZ59+BD59</f>
        <v/>
      </c>
      <c r="BJ59" s="51">
        <f>+E59+I59+M59+Q59+U59+Y59+AC59+AG59+AK59+AO59+AS59+AW59+BA59+BE59</f>
        <v/>
      </c>
      <c r="BK59" s="51">
        <f>+F59+J59+N59+R59+V60+Z59+AD59+AH59+AL59+AP59+AT59+AX59+BB59+BF59</f>
        <v/>
      </c>
      <c r="BL59" s="51">
        <f>+G59+K59+O59+S59+W59+AA59+AE59+AI59+AM59+AQ59+AU59+AY59+BC59+BG59</f>
        <v/>
      </c>
      <c r="BM59" s="51">
        <f>+E59-F59+G59+I59-J59+K59+M59-N59+O59+Q59-R59+S59+U59-V60+W59+Y59-Z59+AA59+AC59-AD59+AE59</f>
        <v/>
      </c>
      <c r="BN59" s="51">
        <f>+AG59-AH59+AI59+AK59-AL59+AM59+AO59-AP59+AQ59+AS59-AT59+AU59+AW59-AX59+AY59+BA59-BB59+BC59+BE59-BF59+BG59</f>
        <v/>
      </c>
      <c r="BO59" s="51">
        <f>BJ59-BK59+BL59</f>
        <v/>
      </c>
      <c r="BP59" s="51">
        <f>IF((+BI59*0.08)&lt;BJ59,0,(+BI59*0.08)-BJ59)</f>
        <v/>
      </c>
      <c r="BQ59" s="85">
        <f>IF(BI59&lt;&gt;0,+BJ59/BI59,0)</f>
        <v/>
      </c>
      <c r="BR59" s="51" t="n"/>
      <c r="BS59" s="51" t="n"/>
      <c r="BT59" s="51" t="n"/>
      <c r="BU59" s="51" t="n"/>
      <c r="BV59" s="51" t="n"/>
      <c r="BW59" s="51" t="n"/>
      <c r="BX59" s="51" t="n"/>
      <c r="BY59" s="64" t="n"/>
    </row>
    <row r="60" ht="18" customFormat="1" customHeight="1" s="75">
      <c r="A60" s="52" t="n">
        <v>3886</v>
      </c>
      <c r="B60" s="53" t="inlineStr">
        <is>
          <t>Thifault Alexandre</t>
        </is>
      </c>
      <c r="C60" s="55" t="n"/>
      <c r="D60" s="47" t="n"/>
      <c r="E60" s="48" t="n"/>
      <c r="F60" s="49" t="n"/>
      <c r="G60" s="50" t="n"/>
      <c r="H60" s="51" t="n"/>
      <c r="I60" s="48" t="n"/>
      <c r="J60" s="49" t="n"/>
      <c r="K60" s="50" t="n"/>
      <c r="L60" s="51" t="n"/>
      <c r="M60" s="48" t="n"/>
      <c r="N60" s="49" t="n"/>
      <c r="O60" s="50" t="n"/>
      <c r="P60" s="51" t="n"/>
      <c r="Q60" s="48" t="n"/>
      <c r="R60" s="49" t="n"/>
      <c r="S60" s="51" t="n"/>
      <c r="T60" s="47" t="n"/>
      <c r="U60" s="48" t="n"/>
      <c r="V60" s="49" t="n"/>
      <c r="W60" s="50" t="n"/>
      <c r="X60" s="82" t="n"/>
      <c r="Y60" s="48" t="n"/>
      <c r="Z60" s="49" t="n"/>
      <c r="AA60" s="50" t="n"/>
      <c r="AB60" s="47" t="n"/>
      <c r="AC60" s="48" t="n"/>
      <c r="AD60" s="49" t="n"/>
      <c r="AE60" s="50" t="n"/>
      <c r="AF60" s="82" t="n"/>
      <c r="AG60" s="48" t="n"/>
      <c r="AH60" s="49" t="n"/>
      <c r="AI60" s="50" t="n"/>
      <c r="AJ60" s="82" t="n"/>
      <c r="AK60" s="48" t="n"/>
      <c r="AL60" s="49" t="n"/>
      <c r="AM60" s="50" t="n"/>
      <c r="AN60" s="97" t="n"/>
      <c r="AO60" s="48" t="n"/>
      <c r="AP60" s="49" t="n"/>
      <c r="AQ60" s="50" t="n"/>
      <c r="AR60" s="47" t="n"/>
      <c r="AS60" s="48" t="n"/>
      <c r="AT60" s="49" t="n"/>
      <c r="AU60" s="50" t="n"/>
      <c r="AV60" s="51" t="n"/>
      <c r="AW60" s="48" t="n"/>
      <c r="AX60" s="49" t="n"/>
      <c r="AY60" s="50" t="n"/>
      <c r="AZ60" s="51" t="n"/>
      <c r="BA60" s="48" t="n"/>
      <c r="BB60" s="49" t="n"/>
      <c r="BC60" s="50" t="n"/>
      <c r="BD60" s="51" t="n"/>
      <c r="BE60" s="48" t="n"/>
      <c r="BF60" s="49" t="n"/>
      <c r="BG60" s="50" t="n"/>
      <c r="BH60" s="64" t="n"/>
      <c r="BI60" s="51">
        <f>+D60+H60+L60+P60+T60+X60+AB60+AF60+AJ60+AN60+AR60+AV60+AZ60+BD60</f>
        <v/>
      </c>
      <c r="BJ60" s="51">
        <f>+E60+I60+M60+Q60+U60+Y60+AC60+AG60+AK60+AO60+AS60+AW60+BA60+BE60</f>
        <v/>
      </c>
      <c r="BK60" s="51">
        <f>+F60+J60+N60+R60+V61+Z60+AD60+AH60+AL60+AP60+AT60+AX60+BB60+BF60</f>
        <v/>
      </c>
      <c r="BL60" s="51">
        <f>+G60+K60+O60+S60+W60+AA60+AE60+AI60+AM60+AQ60+AU60+AY60+BC60+BG60</f>
        <v/>
      </c>
      <c r="BM60" s="51">
        <f>+E60-F60+G60+I60-J60+K60+M60-N60+O60+Q60-R60+S60+U60-V61+W60+Y60-Z60+AA60+AC60-AD60+AE60</f>
        <v/>
      </c>
      <c r="BN60" s="51">
        <f>+AG60-AH60+AI60+AK60-AL60+AM60+AO60-AP60+AQ60+AS60-AT60+AU60+AW60-AX60+AY60+BA60-BB60+BC60+BE60-BF60+BG60</f>
        <v/>
      </c>
      <c r="BO60" s="51">
        <f>BJ60-BK60+BL60</f>
        <v/>
      </c>
      <c r="BP60" s="51">
        <f>IF((+BI60*0.08)&lt;BJ60,0,(+BI60*0.08)-BJ60)</f>
        <v/>
      </c>
      <c r="BQ60" s="85">
        <f>IF(BI60&lt;&gt;0,+BJ60/BI60,0)</f>
        <v/>
      </c>
      <c r="BR60" s="51" t="n"/>
      <c r="BS60" s="51" t="n"/>
      <c r="BT60" s="51" t="n"/>
      <c r="BU60" s="51" t="n"/>
      <c r="BV60" s="51" t="n"/>
      <c r="BW60" s="51" t="n"/>
      <c r="BX60" s="51" t="n"/>
      <c r="BY60" s="64" t="n"/>
    </row>
    <row r="61" ht="18" customFormat="1" customHeight="1" s="75">
      <c r="A61" s="52" t="n">
        <v>91714</v>
      </c>
      <c r="B61" s="53" t="inlineStr">
        <is>
          <t>Tourangeau Carl</t>
        </is>
      </c>
      <c r="C61" s="55" t="n"/>
      <c r="D61" s="47" t="n"/>
      <c r="E61" s="48" t="n"/>
      <c r="F61" s="49" t="n"/>
      <c r="G61" s="50" t="n"/>
      <c r="H61" s="51" t="n"/>
      <c r="I61" s="48" t="n"/>
      <c r="J61" s="49" t="n"/>
      <c r="K61" s="50" t="n"/>
      <c r="L61" s="51" t="n"/>
      <c r="M61" s="48" t="n"/>
      <c r="N61" s="49" t="n"/>
      <c r="O61" s="50" t="n"/>
      <c r="P61" s="51" t="n"/>
      <c r="Q61" s="48" t="n"/>
      <c r="R61" s="49" t="n"/>
      <c r="S61" s="51" t="n"/>
      <c r="T61" s="47" t="n"/>
      <c r="U61" s="48" t="n"/>
      <c r="V61" s="49" t="n"/>
      <c r="W61" s="50" t="n"/>
      <c r="X61" s="82" t="n"/>
      <c r="Y61" s="48" t="n"/>
      <c r="Z61" s="49" t="n"/>
      <c r="AA61" s="50" t="n"/>
      <c r="AB61" s="47" t="n"/>
      <c r="AC61" s="48" t="n"/>
      <c r="AD61" s="49" t="n"/>
      <c r="AE61" s="50" t="n"/>
      <c r="AF61" s="82" t="n"/>
      <c r="AG61" s="48" t="n"/>
      <c r="AH61" s="49" t="n"/>
      <c r="AI61" s="50" t="n"/>
      <c r="AJ61" s="82" t="n"/>
      <c r="AK61" s="48" t="n"/>
      <c r="AL61" s="49" t="n"/>
      <c r="AM61" s="50" t="n"/>
      <c r="AN61" s="97" t="n"/>
      <c r="AO61" s="48" t="n"/>
      <c r="AP61" s="49" t="n"/>
      <c r="AQ61" s="50" t="n"/>
      <c r="AR61" s="47" t="n"/>
      <c r="AS61" s="48" t="n"/>
      <c r="AT61" s="49" t="n"/>
      <c r="AU61" s="50" t="n"/>
      <c r="AV61" s="51" t="n"/>
      <c r="AW61" s="48" t="n"/>
      <c r="AX61" s="49" t="n"/>
      <c r="AY61" s="50" t="n"/>
      <c r="AZ61" s="51" t="n"/>
      <c r="BA61" s="48" t="n"/>
      <c r="BB61" s="49" t="n"/>
      <c r="BC61" s="50" t="n"/>
      <c r="BD61" s="51" t="n"/>
      <c r="BE61" s="48" t="n"/>
      <c r="BF61" s="49" t="n"/>
      <c r="BG61" s="50" t="n"/>
      <c r="BH61" s="64" t="n"/>
      <c r="BI61" s="51">
        <f>+D61+H61+L61+P61+T61+X61+AB61+AF61+AJ61+AN61+AR61+AV61+AZ61+BD61</f>
        <v/>
      </c>
      <c r="BJ61" s="51">
        <f>+E61+I61+M61+Q61+U61+Y61+AC61+AG61+AK61+AO61+AS61+AW61+BA61+BE61</f>
        <v/>
      </c>
      <c r="BK61" s="51">
        <f>+F61+J61+N61+R61+V62+Z61+AD61+AH61+AL61+AP61+AT61+AX61+BB61+BF61</f>
        <v/>
      </c>
      <c r="BL61" s="51">
        <f>+G61+K61+O61+S61+W61+AA61+AE61+AI61+AM61+AQ61+AU61+AY61+BC61+BG61</f>
        <v/>
      </c>
      <c r="BM61" s="51">
        <f>+E61-F61+G61+I61-J61+K61+M61-N61+O61+Q61-R61+S61+U61-V62+W61+Y61-Z61+AA61+AC61-AD61+AE61</f>
        <v/>
      </c>
      <c r="BN61" s="51">
        <f>+AG61-AH61+AI61+AK61-AL61+AM61+AO61-AP61+AQ61+AS61-AT61+AU61+AW61-AX61+AY61+BA61-BB61+BC61+BE61-BF61+BG61</f>
        <v/>
      </c>
      <c r="BO61" s="51">
        <f>BJ61-BK61+BL61</f>
        <v/>
      </c>
      <c r="BP61" s="51">
        <f>IF((+BI61*0.08)&lt;BJ61,0,(+BI61*0.08)-BJ61)</f>
        <v/>
      </c>
      <c r="BQ61" s="85">
        <f>IF(BI61&lt;&gt;0,+BJ61/BI61,0)</f>
        <v/>
      </c>
      <c r="BR61" s="51" t="n"/>
      <c r="BS61" s="51" t="n"/>
      <c r="BT61" s="51" t="n"/>
      <c r="BU61" s="51" t="n"/>
      <c r="BV61" s="51" t="n"/>
      <c r="BW61" s="51" t="n"/>
      <c r="BX61" s="51" t="n"/>
      <c r="BY61" s="64" t="n"/>
    </row>
    <row r="62" ht="18" customFormat="1" customHeight="1" s="75">
      <c r="A62" s="52" t="n">
        <v>4675</v>
      </c>
      <c r="B62" s="53" t="inlineStr">
        <is>
          <t>Tremblay Sandra</t>
        </is>
      </c>
      <c r="C62" s="55" t="n"/>
      <c r="D62" s="47" t="n"/>
      <c r="E62" s="48" t="n"/>
      <c r="F62" s="49" t="n"/>
      <c r="G62" s="50" t="n"/>
      <c r="H62" s="47" t="n"/>
      <c r="I62" s="48" t="n"/>
      <c r="J62" s="49" t="n"/>
      <c r="K62" s="50" t="n"/>
      <c r="L62" s="51" t="n"/>
      <c r="M62" s="48" t="n"/>
      <c r="N62" s="49" t="n"/>
      <c r="O62" s="50" t="n"/>
      <c r="P62" s="51" t="n"/>
      <c r="Q62" s="48" t="n"/>
      <c r="R62" s="49" t="n"/>
      <c r="S62" s="51" t="n"/>
      <c r="T62" s="47" t="n"/>
      <c r="U62" s="48" t="n"/>
      <c r="V62" s="49" t="n"/>
      <c r="W62" s="50" t="n"/>
      <c r="X62" s="82" t="n"/>
      <c r="Y62" s="48" t="n"/>
      <c r="Z62" s="49" t="n"/>
      <c r="AA62" s="50" t="n"/>
      <c r="AB62" s="47" t="n"/>
      <c r="AC62" s="48" t="n"/>
      <c r="AD62" s="49" t="n"/>
      <c r="AE62" s="50" t="n"/>
      <c r="AF62" s="82" t="n"/>
      <c r="AG62" s="48" t="n"/>
      <c r="AH62" s="49" t="n"/>
      <c r="AI62" s="50" t="n"/>
      <c r="AJ62" s="82" t="n"/>
      <c r="AK62" s="48" t="n"/>
      <c r="AL62" s="49" t="n"/>
      <c r="AM62" s="50" t="n"/>
      <c r="AN62" s="97" t="n"/>
      <c r="AO62" s="48" t="n"/>
      <c r="AP62" s="49" t="n"/>
      <c r="AQ62" s="50" t="n"/>
      <c r="AR62" s="47" t="n"/>
      <c r="AS62" s="48" t="n"/>
      <c r="AT62" s="49" t="n"/>
      <c r="AU62" s="50" t="n"/>
      <c r="AV62" s="51" t="n"/>
      <c r="AW62" s="48" t="n"/>
      <c r="AX62" s="49" t="n"/>
      <c r="AY62" s="50" t="n"/>
      <c r="AZ62" s="51" t="n"/>
      <c r="BA62" s="48" t="n"/>
      <c r="BB62" s="49" t="n"/>
      <c r="BC62" s="50" t="n"/>
      <c r="BD62" s="51" t="n"/>
      <c r="BE62" s="48" t="n"/>
      <c r="BF62" s="49" t="n"/>
      <c r="BG62" s="50" t="n"/>
      <c r="BH62" s="64" t="n"/>
      <c r="BI62" s="51">
        <f>+D62+H62+L62+P62+T62+X62+AB62+AF62+AJ62+AN62+AR62+AV62+AZ62+BD62</f>
        <v/>
      </c>
      <c r="BJ62" s="51">
        <f>+E62+I62+M62+Q62+U62+Y62+AC62+AG62+AK62+AO62+AS62+AW62+BA62+BE62</f>
        <v/>
      </c>
      <c r="BK62" s="51">
        <f>+F62+J62+N62+R62+V63+Z62+AD62+AH62+AL62+AP62+AT62+AX62+BB62+BF62</f>
        <v/>
      </c>
      <c r="BL62" s="51">
        <f>+G62+K62+O62+S62+W62+AA62+AE62+AI62+AM62+AQ62+AU62+AY62+BC62+BG62</f>
        <v/>
      </c>
      <c r="BM62" s="51">
        <f>+E62-F62+G62+I62-J62+K62+M62-N62+O62+Q62-R62+S62+U62-V63+W62+Y62-Z62+AA62+AC62-AD62+AE62</f>
        <v/>
      </c>
      <c r="BN62" s="51">
        <f>+AG62-AH62+AI62+AK62-AL62+AM62+AO62-AP62+AQ62+AS62-AT62+AU62+AW62-AX62+AY62+BA62-BB62+BC62+BE62-BF62+BG62</f>
        <v/>
      </c>
      <c r="BO62" s="51">
        <f>BJ62-BK62+BL62</f>
        <v/>
      </c>
      <c r="BP62" s="51">
        <f>IF((+BI62*0.08)&lt;BJ62,0,(+BI62*0.08)-BJ62)</f>
        <v/>
      </c>
      <c r="BQ62" s="85">
        <f>IF(BI62&lt;&gt;0,+BJ62/BI62,0)</f>
        <v/>
      </c>
      <c r="BR62" s="64" t="n"/>
      <c r="BS62" s="64" t="n"/>
      <c r="BT62" s="64" t="n"/>
      <c r="BU62" s="64" t="n"/>
      <c r="BV62" s="64" t="n"/>
      <c r="BW62" s="64" t="n"/>
      <c r="BX62" s="64" t="n"/>
      <c r="BY62" s="64" t="n"/>
    </row>
    <row r="63" ht="18" customFormat="1" customHeight="1" s="75">
      <c r="A63" s="52" t="n">
        <v>5463</v>
      </c>
      <c r="B63" s="57" t="inlineStr">
        <is>
          <t>Tran Cuong Quac</t>
        </is>
      </c>
      <c r="C63" s="55" t="n"/>
      <c r="D63" s="47" t="n"/>
      <c r="E63" s="48" t="n"/>
      <c r="F63" s="49" t="n"/>
      <c r="G63" s="50" t="n"/>
      <c r="H63" s="51" t="n"/>
      <c r="I63" s="48" t="n"/>
      <c r="J63" s="49" t="n"/>
      <c r="K63" s="50" t="n"/>
      <c r="L63" s="51" t="n"/>
      <c r="M63" s="48" t="n"/>
      <c r="N63" s="49" t="n"/>
      <c r="O63" s="50" t="n"/>
      <c r="P63" s="47" t="n"/>
      <c r="Q63" s="48" t="n"/>
      <c r="R63" s="49" t="n"/>
      <c r="S63" s="51" t="n"/>
      <c r="T63" s="47" t="n"/>
      <c r="U63" s="48" t="n"/>
      <c r="V63" s="49" t="n"/>
      <c r="W63" s="50" t="n"/>
      <c r="X63" s="82" t="n"/>
      <c r="Y63" s="48" t="n"/>
      <c r="Z63" s="49" t="n"/>
      <c r="AA63" s="50" t="n"/>
      <c r="AB63" s="47" t="n"/>
      <c r="AC63" s="48" t="n"/>
      <c r="AD63" s="49" t="n"/>
      <c r="AE63" s="50" t="n"/>
      <c r="AF63" s="82" t="n"/>
      <c r="AG63" s="48" t="n"/>
      <c r="AH63" s="49" t="n"/>
      <c r="AI63" s="50" t="n"/>
      <c r="AJ63" s="82" t="n"/>
      <c r="AK63" s="48" t="n"/>
      <c r="AL63" s="49" t="n"/>
      <c r="AM63" s="50" t="n"/>
      <c r="AN63" s="101" t="n"/>
      <c r="AO63" s="48" t="n"/>
      <c r="AP63" s="49" t="n"/>
      <c r="AQ63" s="50" t="n"/>
      <c r="AR63" s="47" t="n"/>
      <c r="AS63" s="48" t="n"/>
      <c r="AT63" s="49" t="n"/>
      <c r="AU63" s="50" t="n"/>
      <c r="AV63" s="51" t="n"/>
      <c r="AW63" s="48" t="n"/>
      <c r="AX63" s="49" t="n"/>
      <c r="AY63" s="50" t="n"/>
      <c r="AZ63" s="51" t="n"/>
      <c r="BA63" s="48" t="n"/>
      <c r="BB63" s="49" t="n"/>
      <c r="BC63" s="50" t="n"/>
      <c r="BD63" s="51" t="n"/>
      <c r="BE63" s="48" t="n"/>
      <c r="BF63" s="49" t="n"/>
      <c r="BG63" s="50" t="n"/>
      <c r="BH63" s="64" t="n"/>
      <c r="BI63" s="51">
        <f>+D63+H63+L63+P63+T63+X63+AB63+AF63+AJ63+AN63+AR63+AV63+AZ63+BD63</f>
        <v/>
      </c>
      <c r="BJ63" s="51">
        <f>+E63+I63+M63+Q63+U63+Y63+AC63+AG63+AK63+AO63+AS63+AW63+BA63+BE63</f>
        <v/>
      </c>
      <c r="BK63" s="51">
        <f>+F63+J63+N63+R63+V64+Z63+AD63+AH63+AL63+AP63+AT63+AX63+BB63+BF63</f>
        <v/>
      </c>
      <c r="BL63" s="51">
        <f>+G63+K63+O63+S63+W63+AA63+AE63+AI63+AM63+AQ63+AU63+AY63+BC63+BG63</f>
        <v/>
      </c>
      <c r="BM63" s="51">
        <f>+E63-F63+G63+I63-J63+K63+M63-N63+O63+Q63-R63+S63+U63-V64+W63+Y63-Z63+AA63+AC63-AD63+AE63</f>
        <v/>
      </c>
      <c r="BN63" s="51">
        <f>+AG63-AH63+AI63+AK63-AL63+AM63+AO63-AP63+AQ63+AS63-AT63+AU63+AW63-AX63+AY63+BA63-BB63+BC63+BE63-BF63+BG63</f>
        <v/>
      </c>
      <c r="BO63" s="51">
        <f>BJ63-BK63+BL63</f>
        <v/>
      </c>
      <c r="BP63" s="51">
        <f>IF((+BI63*0.08)&lt;BJ63,0,(+BI63*0.08)-BJ63)</f>
        <v/>
      </c>
      <c r="BQ63" s="85">
        <f>IF(BI63&lt;&gt;0,+BJ63/BI63,0)</f>
        <v/>
      </c>
      <c r="BR63" s="64" t="n"/>
      <c r="BS63" s="64" t="n"/>
      <c r="BT63" s="64" t="n"/>
      <c r="BU63" s="64" t="n"/>
      <c r="BV63" s="64" t="n"/>
      <c r="BW63" s="64" t="n"/>
      <c r="BX63" s="64" t="n"/>
      <c r="BY63" s="64" t="n"/>
    </row>
    <row r="64" ht="18" customFormat="1" customHeight="1" s="75">
      <c r="A64" s="52" t="n">
        <v>5894</v>
      </c>
      <c r="B64" s="57" t="inlineStr">
        <is>
          <t xml:space="preserve">Veilleux Sebastien </t>
        </is>
      </c>
      <c r="C64" s="55" t="n"/>
      <c r="D64" s="47" t="n"/>
      <c r="E64" s="48" t="n"/>
      <c r="F64" s="49" t="n"/>
      <c r="G64" s="50" t="n"/>
      <c r="H64" s="51" t="n"/>
      <c r="I64" s="48" t="n"/>
      <c r="J64" s="49" t="n"/>
      <c r="K64" s="50" t="n"/>
      <c r="L64" s="51" t="n"/>
      <c r="M64" s="48" t="n"/>
      <c r="N64" s="49" t="n"/>
      <c r="O64" s="50" t="n"/>
      <c r="P64" s="51" t="n"/>
      <c r="Q64" s="48" t="n"/>
      <c r="R64" s="49" t="n"/>
      <c r="S64" s="51" t="n"/>
      <c r="T64" s="47" t="n"/>
      <c r="U64" s="48" t="n"/>
      <c r="V64" s="49" t="n"/>
      <c r="W64" s="50" t="n"/>
      <c r="X64" s="82" t="n"/>
      <c r="Y64" s="48" t="n"/>
      <c r="Z64" s="49" t="n"/>
      <c r="AA64" s="50" t="n"/>
      <c r="AB64" s="47" t="n"/>
      <c r="AC64" s="48" t="n"/>
      <c r="AD64" s="49" t="n"/>
      <c r="AE64" s="50" t="n"/>
      <c r="AF64" s="82" t="n"/>
      <c r="AG64" s="48" t="n"/>
      <c r="AH64" s="49" t="n"/>
      <c r="AI64" s="50" t="n"/>
      <c r="AJ64" s="82" t="n"/>
      <c r="AK64" s="48" t="n"/>
      <c r="AL64" s="49" t="n"/>
      <c r="AM64" s="50" t="n"/>
      <c r="AN64" s="97" t="n"/>
      <c r="AO64" s="48" t="n"/>
      <c r="AP64" s="49" t="n"/>
      <c r="AQ64" s="50" t="n"/>
      <c r="AR64" s="47" t="n"/>
      <c r="AS64" s="48" t="n"/>
      <c r="AT64" s="49" t="n"/>
      <c r="AU64" s="50" t="n"/>
      <c r="AV64" s="51" t="n"/>
      <c r="AW64" s="48" t="n"/>
      <c r="AX64" s="49" t="n"/>
      <c r="AY64" s="50" t="n"/>
      <c r="AZ64" s="51" t="n"/>
      <c r="BA64" s="48" t="n"/>
      <c r="BB64" s="49" t="n"/>
      <c r="BC64" s="50" t="n"/>
      <c r="BD64" s="51" t="n"/>
      <c r="BE64" s="48" t="n"/>
      <c r="BF64" s="49" t="n"/>
      <c r="BG64" s="50" t="n"/>
      <c r="BH64" s="64" t="n"/>
      <c r="BI64" s="51">
        <f>+D64+H64+L64+P64+T64+X64+AB64+AF64+AJ64+AN64+AR64+AV64+AZ64+BD64</f>
        <v/>
      </c>
      <c r="BJ64" s="51">
        <f>+E64+I64+M64+Q64+U64+Y64+AC64+AG64+AK64+AO64+AS64+AW64+BA64+BE64</f>
        <v/>
      </c>
      <c r="BK64" s="51">
        <f>+F64+J64+N64+R64+V65+Z64+AD64+AH64+AL64+AP64+AT64+AX64+BB64+BF64</f>
        <v/>
      </c>
      <c r="BL64" s="51">
        <f>+G64+K64+O64+S64+W64+AA64+AE64+AI64+AM64+AQ64+AU64+AY64+BC64+BG64</f>
        <v/>
      </c>
      <c r="BM64" s="51">
        <f>+E64-F64+G64+I64-J64+K64+M64-N64+O64+Q64-R64+S64+U64-V65+W64+Y64-Z64+AA64+AC64-AD64+AE64</f>
        <v/>
      </c>
      <c r="BN64" s="51">
        <f>+AG64-AH64+AI64+AK64-AL64+AM64+AO64-AP64+AQ64+AS64-AT64+AU64+AW64-AX64+AY64+BA64-BB64+BC64+BE64-BF64+BG64</f>
        <v/>
      </c>
      <c r="BO64" s="51">
        <f>BJ64-BK64+BL64</f>
        <v/>
      </c>
      <c r="BP64" s="51">
        <f>IF((+BI64*0.08)&lt;BJ64,0,(+BI64*0.08)-BJ64)</f>
        <v/>
      </c>
      <c r="BQ64" s="85">
        <f>IF(BI64&lt;&gt;0,+BJ64/BI64,0)</f>
        <v/>
      </c>
      <c r="BR64" s="64" t="n"/>
      <c r="BS64" s="64" t="n"/>
      <c r="BT64" s="64" t="n"/>
      <c r="BU64" s="64" t="n"/>
      <c r="BV64" s="64" t="n"/>
      <c r="BW64" s="64" t="n"/>
      <c r="BX64" s="64" t="n"/>
      <c r="BY64" s="64" t="n"/>
    </row>
    <row r="65" ht="18" customFormat="1" customHeight="1" s="75">
      <c r="A65" s="52" t="n">
        <v>5852</v>
      </c>
      <c r="B65" s="57" t="inlineStr">
        <is>
          <t>Vesnaver, Sarah</t>
        </is>
      </c>
      <c r="C65" s="55" t="n"/>
      <c r="D65" s="47" t="n"/>
      <c r="E65" s="48" t="n"/>
      <c r="F65" s="49" t="n"/>
      <c r="G65" s="50" t="n"/>
      <c r="H65" s="51" t="n"/>
      <c r="I65" s="48" t="n"/>
      <c r="J65" s="49" t="n"/>
      <c r="K65" s="50" t="n"/>
      <c r="L65" s="51" t="n"/>
      <c r="M65" s="48" t="n"/>
      <c r="N65" s="49" t="n"/>
      <c r="O65" s="50" t="n"/>
      <c r="P65" s="51" t="n"/>
      <c r="Q65" s="48" t="n"/>
      <c r="R65" s="49" t="n"/>
      <c r="S65" s="51" t="n"/>
      <c r="T65" s="47" t="n"/>
      <c r="U65" s="48" t="n"/>
      <c r="V65" s="49" t="n"/>
      <c r="W65" s="50" t="n"/>
      <c r="X65" s="82" t="n"/>
      <c r="Y65" s="48" t="n"/>
      <c r="Z65" s="49" t="n"/>
      <c r="AA65" s="50" t="n"/>
      <c r="AB65" s="47" t="n"/>
      <c r="AC65" s="48" t="n"/>
      <c r="AD65" s="49" t="n"/>
      <c r="AE65" s="50" t="n"/>
      <c r="AF65" s="82" t="n"/>
      <c r="AG65" s="48" t="n"/>
      <c r="AH65" s="49" t="n"/>
      <c r="AI65" s="50" t="n"/>
      <c r="AJ65" s="82" t="n"/>
      <c r="AK65" s="48" t="n"/>
      <c r="AL65" s="49" t="n"/>
      <c r="AM65" s="50" t="n"/>
      <c r="AN65" s="97" t="n"/>
      <c r="AO65" s="48" t="n"/>
      <c r="AP65" s="49" t="n"/>
      <c r="AQ65" s="50" t="n"/>
      <c r="AR65" s="47" t="n"/>
      <c r="AS65" s="48" t="n"/>
      <c r="AT65" s="49" t="n"/>
      <c r="AU65" s="50" t="n"/>
      <c r="AV65" s="51" t="n"/>
      <c r="AW65" s="48" t="n"/>
      <c r="AX65" s="49" t="n"/>
      <c r="AY65" s="50" t="n"/>
      <c r="AZ65" s="51" t="n"/>
      <c r="BA65" s="48" t="n"/>
      <c r="BB65" s="49" t="n"/>
      <c r="BC65" s="50" t="n"/>
      <c r="BD65" s="51" t="n"/>
      <c r="BE65" s="48" t="n"/>
      <c r="BF65" s="49" t="n"/>
      <c r="BG65" s="50" t="n"/>
      <c r="BH65" s="64" t="n"/>
      <c r="BI65" s="51">
        <f>+D65+H65+L65+P65+T65+X65+AB65+AF65+AJ65+AN65+AR65+AV65+AZ65+BD65</f>
        <v/>
      </c>
      <c r="BJ65" s="51">
        <f>+E65+I65+M65+Q65+U65+Y65+AC65+AG65+AK65+AO65+AS65+AW65+BA65+BE65</f>
        <v/>
      </c>
      <c r="BK65" s="51">
        <f>+F65+J65+N65+R65+V66+Z65+AD65+AH65+AL65+AP65+AT65+AX65+BB65+BF65</f>
        <v/>
      </c>
      <c r="BL65" s="51">
        <f>+G65+K65+O65+S65+W65+AA65+AE65+AI65+AM65+AQ65+AU65+AY65+BC65+BG65</f>
        <v/>
      </c>
      <c r="BM65" s="51">
        <f>+E65-F65+G65+I65-J65+K65+M65-N65+O65+Q65-R65+S65+U65-V66+W65+Y65-Z65+AA65+AC65-AD65+AE65</f>
        <v/>
      </c>
      <c r="BN65" s="51">
        <f>+AG65-AH65+AI65+AK65-AL65+AM65+AO65-AP65+AQ65+AS65-AT65+AU65+AW65-AX65+AY65+BA65-BB65+BC65+BE65-BF65+BG65</f>
        <v/>
      </c>
      <c r="BO65" s="51">
        <f>BJ65-BK65+BL65</f>
        <v/>
      </c>
      <c r="BP65" s="51">
        <f>IF((+BI65*0.08)&lt;BJ65,0,(+BI65*0.08)-BJ65)</f>
        <v/>
      </c>
      <c r="BQ65" s="85">
        <f>IF(BI65&lt;&gt;0,+BJ65/BI65,0)</f>
        <v/>
      </c>
      <c r="BR65" s="64" t="n"/>
      <c r="BS65" s="64" t="n"/>
      <c r="BT65" s="64" t="n"/>
      <c r="BU65" s="64" t="n"/>
      <c r="BV65" s="64" t="n"/>
      <c r="BW65" s="64" t="n"/>
      <c r="BX65" s="64" t="n"/>
      <c r="BY65" s="64" t="n"/>
    </row>
    <row r="66" ht="18" customFormat="1" customHeight="1" s="75">
      <c r="A66" s="52" t="n">
        <v>3977</v>
      </c>
      <c r="B66" s="53" t="inlineStr">
        <is>
          <t>Yelle Caroline</t>
        </is>
      </c>
      <c r="C66" s="53" t="n"/>
      <c r="D66" s="47" t="n"/>
      <c r="E66" s="48" t="n"/>
      <c r="F66" s="49" t="n"/>
      <c r="G66" s="50" t="n"/>
      <c r="H66" s="51" t="n"/>
      <c r="I66" s="48" t="n"/>
      <c r="J66" s="49" t="n"/>
      <c r="K66" s="50" t="n"/>
      <c r="L66" s="51" t="n"/>
      <c r="M66" s="48" t="n"/>
      <c r="N66" s="49" t="n"/>
      <c r="O66" s="50" t="n"/>
      <c r="P66" s="51" t="n"/>
      <c r="Q66" s="48" t="n"/>
      <c r="R66" s="49" t="n"/>
      <c r="S66" s="51" t="n"/>
      <c r="T66" s="47" t="n"/>
      <c r="U66" s="48" t="n"/>
      <c r="V66" s="49" t="n"/>
      <c r="W66" s="50" t="n"/>
      <c r="X66" s="82" t="n"/>
      <c r="Y66" s="48" t="n"/>
      <c r="Z66" s="49" t="n"/>
      <c r="AA66" s="50" t="n"/>
      <c r="AB66" s="47" t="n"/>
      <c r="AC66" s="48" t="n"/>
      <c r="AD66" s="49" t="n"/>
      <c r="AE66" s="50" t="n"/>
      <c r="AF66" s="82" t="n"/>
      <c r="AG66" s="48" t="n"/>
      <c r="AH66" s="49" t="n"/>
      <c r="AI66" s="50" t="n"/>
      <c r="AJ66" s="82" t="n"/>
      <c r="AK66" s="48" t="n"/>
      <c r="AL66" s="49" t="n"/>
      <c r="AM66" s="50" t="n"/>
      <c r="AN66" s="97" t="n"/>
      <c r="AO66" s="48" t="n"/>
      <c r="AP66" s="49" t="n"/>
      <c r="AQ66" s="50" t="n"/>
      <c r="AR66" s="47" t="n"/>
      <c r="AS66" s="48" t="n"/>
      <c r="AT66" s="49" t="n"/>
      <c r="AU66" s="50" t="n"/>
      <c r="AV66" s="51" t="n"/>
      <c r="AW66" s="48" t="n"/>
      <c r="AX66" s="49" t="n"/>
      <c r="AY66" s="50" t="n"/>
      <c r="AZ66" s="51" t="n"/>
      <c r="BA66" s="48" t="n"/>
      <c r="BB66" s="49" t="n"/>
      <c r="BC66" s="50" t="n"/>
      <c r="BD66" s="51" t="n"/>
      <c r="BE66" s="48" t="n"/>
      <c r="BF66" s="49" t="n"/>
      <c r="BG66" s="50" t="n"/>
      <c r="BH66" s="64" t="n"/>
      <c r="BI66" s="51">
        <f>+D66+H66+L66+P66+T66+X66+AB66+AF66+AJ66+AN66+AR66+AV66+AZ66+BD66</f>
        <v/>
      </c>
      <c r="BJ66" s="51">
        <f>+E66+I66+M66+Q66+U66+Y66+AC66+AG66+AK66+AO66+AS66+AW66+BA66+BE66</f>
        <v/>
      </c>
      <c r="BK66" s="51">
        <f>+F66+J66+N66+R66+V67+Z66+AD66+AH66+AL66+AP66+AT66+AX66+BB66+BF66</f>
        <v/>
      </c>
      <c r="BL66" s="51">
        <f>+G66+K66+O66+S66+W66+AA66+AE66+AI66+AM66+AQ66+AU66+AY66+BC66+BG66</f>
        <v/>
      </c>
      <c r="BM66" s="51">
        <f>+E66-F66+G66+I66-J66+K66+M66-N66+O66+Q66-R66+S66+U66-V67+W66+Y66-Z66+AA66+AC66-AD66+AE66</f>
        <v/>
      </c>
      <c r="BN66" s="51">
        <f>+AG66-AH66+AI66+AK66-AL66+AM66+AO66-AP66+AQ66+AS66-AT66+AU66+AW66-AX66+AY66+BA66-BB66+BC66+BE66-BF66+BG66</f>
        <v/>
      </c>
      <c r="BO66" s="51">
        <f>BJ66-BK66+BL66</f>
        <v/>
      </c>
      <c r="BP66" s="51">
        <f>IF((+BI66*0.08)&lt;BJ66,0,(+BI66*0.08)-BJ66)</f>
        <v/>
      </c>
      <c r="BQ66" s="85">
        <f>IF(BI66&lt;&gt;0,+BJ66/BI66,0)</f>
        <v/>
      </c>
      <c r="BR66" s="64" t="n"/>
      <c r="BS66" s="64" t="n"/>
      <c r="BT66" s="64" t="n"/>
      <c r="BU66" s="64" t="n"/>
      <c r="BV66" s="64" t="n"/>
      <c r="BW66" s="64" t="n"/>
      <c r="BX66" s="64" t="n"/>
      <c r="BY66" s="64" t="n"/>
    </row>
    <row r="67" ht="18" customHeight="1">
      <c r="A67" s="58" t="inlineStr">
        <is>
          <t>Insérez avant cette ligne</t>
        </is>
      </c>
      <c r="B67" s="59" t="n"/>
      <c r="C67" s="60" t="n"/>
      <c r="D67" s="105" t="n"/>
      <c r="E67" s="106" t="n"/>
      <c r="F67" s="62" t="n"/>
      <c r="G67" s="63" t="n"/>
      <c r="H67" s="61" t="n"/>
      <c r="I67" s="60" t="n"/>
      <c r="J67" s="62" t="n"/>
      <c r="K67" s="63" t="n"/>
      <c r="L67" s="61" t="n"/>
      <c r="M67" s="60" t="n"/>
      <c r="N67" s="62" t="n"/>
      <c r="O67" s="63" t="n"/>
      <c r="P67" s="61" t="n"/>
      <c r="Q67" s="60" t="n"/>
      <c r="R67" s="62" t="n"/>
      <c r="S67" s="63" t="n"/>
      <c r="T67" s="61" t="n"/>
      <c r="U67" s="60" t="n"/>
      <c r="V67" s="62" t="n"/>
      <c r="W67" s="63" t="n"/>
      <c r="X67" s="61" t="n"/>
      <c r="Y67" s="60" t="n"/>
      <c r="Z67" s="62" t="n"/>
      <c r="AA67" s="63" t="n"/>
      <c r="AB67" s="61" t="n"/>
      <c r="AC67" s="60" t="n"/>
      <c r="AD67" s="62" t="n"/>
      <c r="AE67" s="63" t="n"/>
      <c r="AF67" s="61" t="n"/>
      <c r="AG67" s="60" t="n"/>
      <c r="AH67" s="62" t="n"/>
      <c r="AI67" s="63" t="n"/>
      <c r="AJ67" s="61" t="n"/>
      <c r="AK67" s="60" t="n"/>
      <c r="AL67" s="62" t="n"/>
      <c r="AM67" s="63" t="n"/>
      <c r="AN67" s="99" t="n"/>
      <c r="AO67" s="60" t="n"/>
      <c r="AP67" s="62" t="n"/>
      <c r="AQ67" s="63" t="n"/>
      <c r="AR67" s="61" t="n"/>
      <c r="AS67" s="60" t="n"/>
      <c r="AT67" s="62" t="n"/>
      <c r="AU67" s="63" t="n"/>
      <c r="AV67" s="61" t="n"/>
      <c r="AW67" s="60" t="n"/>
      <c r="AX67" s="62" t="n"/>
      <c r="AY67" s="89" t="n"/>
      <c r="AZ67" s="61" t="n"/>
      <c r="BA67" s="60" t="n"/>
      <c r="BB67" s="62" t="n"/>
      <c r="BC67" s="89" t="n"/>
      <c r="BD67" s="61" t="n"/>
      <c r="BE67" s="60" t="n"/>
      <c r="BF67" s="62" t="n"/>
      <c r="BG67" s="63" t="n"/>
      <c r="BH67" s="61" t="n"/>
      <c r="BI67" s="51">
        <f>+D67+H67+L67+P67+T67+X67+AB67+AF67+AJ67+AN67+AR67+AV67+AZ67+BD67</f>
        <v/>
      </c>
      <c r="BJ67" s="51">
        <f>+E67+I67+M67+Q67+U67+Y67+AC67+AG67+AK67+AO67+AS67+AW67+BA67+BE67</f>
        <v/>
      </c>
      <c r="BK67" s="51">
        <f>+F67+J67+N67+R67+V68+Z67+AD67+AH67+AL67+AP67+AT67+AX67+BB67+BF67</f>
        <v/>
      </c>
      <c r="BL67" s="51">
        <f>+G67+K67+O67+S67+W67+AA67+AE67+AI67+AM67+AQ67+AU67+AY67+BC67+BG67</f>
        <v/>
      </c>
      <c r="BM67" s="51">
        <f>+E67-F67+G67+I67-J67+K67+M67-N67+O67+Q67-R67+S67+U67-V68+W67+Y67-Z67+AA67+AC67-AD67+AE67</f>
        <v/>
      </c>
      <c r="BN67" s="51">
        <f>+AG67-AH67+AI67+AK67-AL67+AM67+AO67-AP67+AQ67+AS67-AT67+AU67+AW67-AX67+AY67+BA67-BB67+BC67+BE67-BF67+BG67</f>
        <v/>
      </c>
      <c r="BO67" s="51">
        <f>BJ67-BK67+BL67</f>
        <v/>
      </c>
      <c r="BP67" s="51">
        <f>IF((+BI67*0.08)&lt;BJ67,0,(+BI67*0.08)-BJ67)</f>
        <v/>
      </c>
      <c r="BQ67" s="85">
        <f>IF(BI67&lt;&gt;0,+BJ67/BI67,0)</f>
        <v/>
      </c>
      <c r="BR67" s="34" t="n"/>
      <c r="BS67" s="34" t="n"/>
      <c r="BT67" s="34" t="n"/>
      <c r="BU67" s="34" t="n"/>
      <c r="BV67" s="34" t="n"/>
      <c r="BW67" s="34" t="n"/>
      <c r="BX67" s="34" t="n"/>
      <c r="BY67" s="34" t="n"/>
    </row>
    <row r="68" ht="27.75" customHeight="1">
      <c r="A68" s="33" t="n"/>
      <c r="B68" s="34" t="n"/>
      <c r="C68" s="34" t="n"/>
      <c r="D68" s="78">
        <f>SUM(D7:D66)</f>
        <v/>
      </c>
      <c r="E68" s="46" t="n"/>
      <c r="F68" s="46" t="n"/>
      <c r="G68" s="46" t="n"/>
      <c r="H68" s="78">
        <f>SUM(H7:H66)</f>
        <v/>
      </c>
      <c r="I68" s="46" t="n"/>
      <c r="J68" s="46" t="n"/>
      <c r="K68" s="46" t="n"/>
      <c r="L68" s="78">
        <f>SUM(L7:L66)</f>
        <v/>
      </c>
      <c r="M68" s="46" t="n"/>
      <c r="N68" s="46" t="n"/>
      <c r="O68" s="46" t="n"/>
      <c r="P68" s="78">
        <f>SUM(P7:P67)</f>
        <v/>
      </c>
      <c r="Q68" s="46" t="n"/>
      <c r="R68" s="46" t="n"/>
      <c r="S68" s="46" t="n"/>
      <c r="T68" s="78">
        <f>SUM(T7:T67)</f>
        <v/>
      </c>
      <c r="U68" s="46" t="n"/>
      <c r="V68" s="46" t="n"/>
      <c r="W68" s="46" t="n"/>
      <c r="X68" s="78">
        <f>SUM(X7:X67)</f>
        <v/>
      </c>
      <c r="Y68" s="46" t="n"/>
      <c r="Z68" s="46" t="n"/>
      <c r="AA68" s="46" t="n"/>
      <c r="AB68" s="78">
        <f>SUM(AB7:AB66)</f>
        <v/>
      </c>
      <c r="AC68" s="46" t="n"/>
      <c r="AD68" s="46" t="n"/>
      <c r="AE68" s="46" t="n"/>
      <c r="AF68" s="78">
        <f>SUM(AF7:AF66)</f>
        <v/>
      </c>
      <c r="AG68" s="46" t="n"/>
      <c r="AH68" s="46" t="n"/>
      <c r="AI68" s="46" t="n"/>
      <c r="AJ68" s="78">
        <f>SUM(AJ7:AJ66)</f>
        <v/>
      </c>
      <c r="AK68" s="46" t="n"/>
      <c r="AL68" s="46" t="n"/>
      <c r="AM68" s="46" t="n"/>
      <c r="AN68" s="78">
        <f>SUM(AN7:AN66)</f>
        <v/>
      </c>
      <c r="AO68" s="46" t="n"/>
      <c r="AP68" s="46" t="n"/>
      <c r="AQ68" s="46" t="n"/>
      <c r="AR68" s="78">
        <f>SUM(AR7:AR66)</f>
        <v/>
      </c>
      <c r="AS68" s="78" t="n"/>
      <c r="AT68" s="78" t="n"/>
      <c r="AU68" s="78" t="n"/>
      <c r="AV68" s="78">
        <f>SUM(AV7:AV66)</f>
        <v/>
      </c>
      <c r="AW68" s="78" t="n"/>
      <c r="AX68" s="78" t="n"/>
      <c r="AY68" s="78" t="n"/>
      <c r="AZ68" s="78">
        <f>SUM(AZ7:AZ66)</f>
        <v/>
      </c>
      <c r="BA68" s="78" t="n"/>
      <c r="BB68" s="78" t="n"/>
      <c r="BC68" s="78" t="n"/>
      <c r="BD68" s="78">
        <f>SUM(BD7:BD66)</f>
        <v/>
      </c>
      <c r="BE68" s="44" t="n"/>
      <c r="BF68" s="45" t="n"/>
      <c r="BG68" s="34" t="n"/>
      <c r="BH68" s="34" t="n"/>
      <c r="BI68" s="79">
        <f>SUM(BI7:BI67)</f>
        <v/>
      </c>
      <c r="BJ68" s="46">
        <f>SUM(BJ7:BJ67)</f>
        <v/>
      </c>
      <c r="BK68" s="46">
        <f>SUM(BK7:BK67)</f>
        <v/>
      </c>
      <c r="BL68" s="46">
        <f>SUM(BL7:BL67)</f>
        <v/>
      </c>
      <c r="BM68" s="46">
        <f>SUM(BM7:BM67)</f>
        <v/>
      </c>
      <c r="BN68" s="46">
        <f>SUM(BN7:BN67)</f>
        <v/>
      </c>
      <c r="BO68" s="46">
        <f>SUM(BO7:BO67)</f>
        <v/>
      </c>
      <c r="BP68" s="46">
        <f>SUM(BP7:BP67)</f>
        <v/>
      </c>
      <c r="BQ68" s="73">
        <f>IF(BI68&lt;&gt;0,+BJ68/BI68,0)</f>
        <v/>
      </c>
      <c r="BR68" s="34" t="n"/>
      <c r="BS68" s="34" t="n"/>
      <c r="BT68" s="34" t="n"/>
      <c r="BU68" s="34" t="n"/>
      <c r="BV68" s="34" t="n"/>
      <c r="BW68" s="34" t="n"/>
      <c r="BX68" s="34" t="n"/>
      <c r="BY68" s="34" t="n"/>
    </row>
    <row r="69" ht="18" customFormat="1" customHeight="1" s="75">
      <c r="A69" s="74" t="n"/>
      <c r="B69" s="64" t="n"/>
      <c r="C69" s="64" t="n"/>
      <c r="D69" s="51">
        <f>29475.19-4050.65-9856.5-1529.7-34.35-6-286.49-271.29</f>
        <v/>
      </c>
      <c r="E69" s="51" t="n"/>
      <c r="F69" s="66" t="n"/>
      <c r="G69" s="64" t="n"/>
      <c r="H69" s="51">
        <f>11149.59-359.13-30.5-226.46-9-4642-5.76-227.19-3.5</f>
        <v/>
      </c>
      <c r="I69" s="65" t="n"/>
      <c r="J69" s="66" t="n"/>
      <c r="K69" s="64" t="n"/>
      <c r="L69" s="51">
        <f>38958.19-178.28-66.68-18.24-17985.27-23.25-378.66-137.89-9-496.27-1.75-27.25-9437.4</f>
        <v/>
      </c>
      <c r="M69" s="65" t="n"/>
      <c r="N69" s="66" t="n"/>
      <c r="O69" s="64" t="n"/>
      <c r="P69" s="51">
        <f>43136.91-3370.36-19.95-131.88-16027.24-752.89-976.01-24.24-118.19-789.43-15619.52+1328.44-19.99-21.25</f>
        <v/>
      </c>
      <c r="Q69" s="65" t="n"/>
      <c r="R69" s="66" t="n"/>
      <c r="S69" s="64" t="n"/>
      <c r="T69" s="51">
        <f>78379.52-11.45-39.24-43.7-487.46-2185-144.14-18.26-686.61+900-66419.06-31.98-309.7</f>
        <v/>
      </c>
      <c r="U69" s="65" t="n"/>
      <c r="V69" s="66" t="n"/>
      <c r="W69" s="64" t="n"/>
      <c r="X69" s="51">
        <f>19543.92-7266-283.57+111.56-128.89-582.43-24.99-1144.48</f>
        <v/>
      </c>
      <c r="Z69" s="66" t="n"/>
      <c r="AA69" s="64" t="n"/>
      <c r="AB69" s="51">
        <f>36119.16-1145.73-10-9881.42-1848.46-728.14-13.75-53.49-2245.36-26.96</f>
        <v/>
      </c>
      <c r="AC69" s="65" t="n"/>
      <c r="AD69" s="66" t="n"/>
      <c r="AE69" s="64" t="n"/>
      <c r="AF69" s="51">
        <f>29369.21-2209.25-124.77-2230.33-381.16-11481.42-6-680.11-35.95</f>
        <v/>
      </c>
      <c r="AG69" s="65" t="n"/>
      <c r="AH69" s="66" t="n"/>
      <c r="AI69" s="64" t="n"/>
      <c r="AJ69" s="51">
        <f>22920.4-3100-14.95-457.87-21.76-613.6-13066.85-9-835.57-85.44</f>
        <v/>
      </c>
      <c r="AK69" s="65" t="n"/>
      <c r="AL69" s="66" t="n"/>
      <c r="AM69" s="64" t="n"/>
      <c r="AN69" s="76">
        <f>105475.93-276.92-3830.87-21.75-24.94-464.98-546.44-92936.84-2327.09</f>
        <v/>
      </c>
      <c r="AO69" s="65" t="n"/>
      <c r="AP69" s="66" t="n"/>
      <c r="AQ69" s="64" t="n"/>
      <c r="AR69" s="76">
        <f>15418.19+628.72-27.49-651.74-211.38-3184.69-7290.6-19.49-419.76-50.61</f>
        <v/>
      </c>
      <c r="AS69" s="65" t="n"/>
      <c r="AT69" s="66" t="n"/>
      <c r="AU69" s="64" t="n"/>
      <c r="AV69" s="51">
        <f>105475.93-2327.09-92936.84-546.44-464.98-24.94-21.75-3830.87-276.92</f>
        <v/>
      </c>
      <c r="AW69" s="65" t="n"/>
      <c r="AX69" s="66" t="n"/>
      <c r="AY69" s="64" t="n"/>
      <c r="AZ69" s="51">
        <f>82731.19-4.99-58.42-408.2-143.14-408.23-6671.32-9132.4-292.1-58959.82-30.2-13.25</f>
        <v/>
      </c>
      <c r="BA69" s="65" t="n"/>
      <c r="BB69" s="66" t="n"/>
      <c r="BC69" s="64" t="n"/>
      <c r="BD69" s="77">
        <f>46267.71-1145.47-19-3122.87-134.14-32382.3-31.75-9-921.84-39.99</f>
        <v/>
      </c>
      <c r="BE69" s="65" t="n"/>
      <c r="BF69" s="66" t="n"/>
      <c r="BG69" s="64" t="n"/>
      <c r="BH69" s="64" t="n"/>
      <c r="BI69" s="64" t="n"/>
      <c r="BJ69" s="64" t="n"/>
      <c r="BK69" s="64" t="n"/>
      <c r="BL69" s="64" t="n"/>
      <c r="BM69" s="64" t="n"/>
      <c r="BN69" s="64" t="n"/>
      <c r="BO69" s="64" t="n"/>
      <c r="BP69" s="64" t="n"/>
      <c r="BQ69" s="64" t="n"/>
      <c r="BR69" s="64" t="n"/>
      <c r="BS69" s="64" t="n"/>
      <c r="BT69" s="64" t="n"/>
      <c r="BU69" s="64" t="n"/>
      <c r="BV69" s="64" t="n"/>
      <c r="BW69" s="64" t="n"/>
      <c r="BX69" s="64" t="n"/>
      <c r="BY69" s="64" t="n"/>
    </row>
    <row r="70" ht="18" customHeight="1">
      <c r="A70" s="33" t="n"/>
      <c r="B70" s="34" t="n"/>
      <c r="C70" s="34" t="n"/>
      <c r="D70" s="90">
        <f>+D68-D69</f>
        <v/>
      </c>
      <c r="E70" s="94" t="inlineStr">
        <is>
          <t>ok</t>
        </is>
      </c>
      <c r="F70" s="46" t="n"/>
      <c r="G70" s="46" t="n"/>
      <c r="H70" s="90">
        <f>+H68-H69</f>
        <v/>
      </c>
      <c r="I70" s="94" t="inlineStr">
        <is>
          <t>ok</t>
        </is>
      </c>
      <c r="J70" s="46" t="n"/>
      <c r="K70" s="46" t="n"/>
      <c r="L70" s="90">
        <f>+L68-L69</f>
        <v/>
      </c>
      <c r="M70" s="94" t="n"/>
      <c r="N70" s="46" t="n"/>
      <c r="O70" s="46" t="n"/>
      <c r="P70" s="90">
        <f>+P68-P69</f>
        <v/>
      </c>
      <c r="Q70" s="94" t="inlineStr">
        <is>
          <t>ok</t>
        </is>
      </c>
      <c r="R70" s="45" t="n"/>
      <c r="S70" s="34" t="n"/>
      <c r="T70" s="90">
        <f>+T68-T69</f>
        <v/>
      </c>
      <c r="U70" s="94" t="inlineStr">
        <is>
          <t>ok</t>
        </is>
      </c>
      <c r="V70" s="45" t="n"/>
      <c r="W70" s="34" t="n"/>
      <c r="X70" s="90">
        <f>+X68-X69</f>
        <v/>
      </c>
      <c r="Y70" s="94" t="inlineStr">
        <is>
          <t>ok</t>
        </is>
      </c>
      <c r="Z70" s="45" t="n"/>
      <c r="AA70" s="34" t="n"/>
      <c r="AB70" s="90">
        <f>+AB68-AB69</f>
        <v/>
      </c>
      <c r="AC70" s="95" t="inlineStr">
        <is>
          <t>ok</t>
        </is>
      </c>
      <c r="AD70" s="46" t="n"/>
      <c r="AE70" s="34" t="n"/>
      <c r="AF70" s="90">
        <f>+AF68-AF69</f>
        <v/>
      </c>
      <c r="AG70" s="95" t="inlineStr">
        <is>
          <t>ok</t>
        </is>
      </c>
      <c r="AH70" s="45" t="n"/>
      <c r="AI70" s="34" t="n"/>
      <c r="AJ70" s="90">
        <f>+AJ68-AJ69</f>
        <v/>
      </c>
      <c r="AK70" s="95" t="inlineStr">
        <is>
          <t>ok</t>
        </is>
      </c>
      <c r="AL70" s="46" t="n"/>
      <c r="AM70" s="46" t="n"/>
      <c r="AN70" s="90">
        <f>+AN68-AN69</f>
        <v/>
      </c>
      <c r="AO70" s="95" t="inlineStr">
        <is>
          <t>ok</t>
        </is>
      </c>
      <c r="AP70" s="45" t="n"/>
      <c r="AQ70" s="34" t="n"/>
      <c r="AR70" s="90">
        <f>+AR68-AR69</f>
        <v/>
      </c>
      <c r="AS70" s="95" t="inlineStr">
        <is>
          <t>ok</t>
        </is>
      </c>
      <c r="AT70" s="45" t="n"/>
      <c r="AU70" s="34" t="n"/>
      <c r="AV70" s="90">
        <f>+AV68-AV69</f>
        <v/>
      </c>
      <c r="AW70" s="95" t="n"/>
      <c r="AX70" s="46" t="n"/>
      <c r="AY70" s="46" t="n"/>
      <c r="AZ70" s="90">
        <f>+AZ68-AZ69</f>
        <v/>
      </c>
      <c r="BA70" s="95" t="n"/>
      <c r="BB70" s="46" t="n"/>
      <c r="BC70" s="46" t="n"/>
      <c r="BD70" s="90">
        <f>+BD68-BD69</f>
        <v/>
      </c>
      <c r="BE70" s="95" t="n"/>
      <c r="BF70" s="45" t="n"/>
      <c r="BG70" s="34" t="n"/>
      <c r="BH70" s="34" t="n"/>
      <c r="BI70" s="34" t="n"/>
      <c r="BJ70" s="34" t="n"/>
      <c r="BK70" s="34" t="n"/>
      <c r="BL70" s="34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4" t="n"/>
      <c r="BW70" s="34" t="n"/>
      <c r="BX70" s="34" t="n"/>
      <c r="BY70" s="34" t="n"/>
    </row>
    <row r="71" ht="18" customHeight="1">
      <c r="A71" s="33" t="n"/>
      <c r="B71" s="34" t="n"/>
      <c r="C71" s="34" t="n"/>
      <c r="D71" s="64" t="n"/>
      <c r="E71" s="107" t="n"/>
      <c r="F71" s="66" t="n"/>
      <c r="G71" s="64" t="n"/>
      <c r="H71" s="64" t="n"/>
      <c r="I71" s="65" t="n"/>
      <c r="J71" s="66" t="n"/>
      <c r="K71" s="64" t="n"/>
      <c r="L71" s="64" t="n"/>
      <c r="M71" s="65" t="n"/>
      <c r="N71" s="66" t="n"/>
      <c r="O71" s="64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  <c r="AA71" s="108" t="n"/>
      <c r="AB71" s="108" t="n"/>
      <c r="AC71" s="108" t="n"/>
      <c r="AD71" s="108" t="n"/>
      <c r="AE71" s="108" t="n"/>
      <c r="AF71" s="64" t="n"/>
      <c r="AG71" s="65" t="n"/>
      <c r="AH71" s="66" t="n"/>
      <c r="AI71" s="64" t="n"/>
      <c r="AJ71" s="64" t="n"/>
      <c r="AK71" s="65" t="n"/>
      <c r="AL71" s="66" t="n"/>
      <c r="AM71" s="64" t="n"/>
      <c r="AN71" s="64" t="n"/>
      <c r="AO71" s="65" t="n"/>
      <c r="AP71" s="66" t="n"/>
      <c r="AQ71" s="64" t="n"/>
      <c r="AR71" s="67" t="n"/>
      <c r="AS71" s="65" t="n"/>
      <c r="AT71" s="66" t="n"/>
      <c r="AU71" s="64" t="n"/>
      <c r="AV71" s="64" t="n"/>
      <c r="AW71" s="65" t="n"/>
      <c r="AX71" s="66" t="n"/>
      <c r="AY71" s="64" t="n"/>
      <c r="AZ71" s="64" t="n"/>
      <c r="BA71" s="65" t="n"/>
      <c r="BB71" s="66" t="n"/>
      <c r="BC71" s="64" t="n"/>
      <c r="BD71" s="64" t="n"/>
      <c r="BE71" s="65" t="n"/>
      <c r="BF71" s="66" t="n"/>
      <c r="BG71" s="64" t="n"/>
      <c r="BH71" s="34" t="n"/>
      <c r="BI71" s="34" t="n"/>
      <c r="BJ71" s="34" t="n"/>
      <c r="BK71" s="34" t="n"/>
      <c r="BL71" s="34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4" t="n"/>
      <c r="BW71" s="34" t="n"/>
      <c r="BX71" s="34" t="n"/>
      <c r="BY71" s="34" t="n"/>
    </row>
    <row r="72" ht="18" customHeight="1">
      <c r="A72" s="33" t="inlineStr">
        <is>
          <t>controle</t>
        </is>
      </c>
      <c r="B72" s="68" t="n"/>
      <c r="C72" s="34" t="n"/>
      <c r="D72" s="91" t="n"/>
      <c r="E72" s="92" t="n"/>
      <c r="F72" s="93" t="n"/>
      <c r="G72" s="92" t="n"/>
      <c r="H72" s="91" t="n"/>
      <c r="I72" s="92" t="n"/>
      <c r="J72" s="92" t="n"/>
      <c r="K72" s="92" t="n"/>
      <c r="L72" s="92" t="n"/>
      <c r="M72" s="92" t="n"/>
      <c r="N72" s="92" t="n"/>
      <c r="O72" s="92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66" t="n"/>
      <c r="Y72" s="92" t="n"/>
      <c r="Z72" s="92" t="n"/>
      <c r="AA72" s="92" t="n"/>
      <c r="AB72" s="104">
        <f>AB26+AB36</f>
        <v/>
      </c>
      <c r="AC72" s="92" t="n"/>
      <c r="AD72" s="92" t="n"/>
      <c r="AE72" s="92" t="n"/>
      <c r="AF72" s="92" t="n"/>
      <c r="AG72" s="92" t="n"/>
      <c r="AH72" s="92" t="n"/>
      <c r="AI72" s="92" t="n"/>
      <c r="AJ72" s="92" t="n"/>
      <c r="AK72" s="92" t="n"/>
      <c r="AL72" s="92" t="n"/>
      <c r="AM72" s="92" t="n"/>
      <c r="AN72" s="92" t="n"/>
      <c r="AO72" s="92" t="n"/>
      <c r="AP72" s="92" t="n"/>
      <c r="AQ72" s="92" t="n"/>
      <c r="AR72" s="92" t="n"/>
      <c r="AS72" s="92" t="n"/>
      <c r="AT72" s="92" t="n"/>
      <c r="AU72" s="66" t="n"/>
      <c r="AV72" s="66" t="n"/>
      <c r="AW72" s="66" t="n"/>
      <c r="AX72" s="66" t="n"/>
      <c r="AY72" s="66" t="n"/>
      <c r="AZ72" s="66" t="n"/>
      <c r="BA72" s="66" t="n"/>
      <c r="BB72" s="66" t="n"/>
      <c r="BC72" s="66" t="n"/>
      <c r="BD72" s="64" t="n"/>
      <c r="BE72" s="65" t="n"/>
      <c r="BF72" s="66" t="n"/>
      <c r="BG72" s="64" t="n"/>
      <c r="BH72" s="34" t="n"/>
      <c r="BI72" s="34" t="n"/>
      <c r="BJ72" s="34" t="n"/>
      <c r="BK72" s="34" t="n"/>
      <c r="BL72" s="34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 t="n"/>
      <c r="BV72" s="34" t="n"/>
      <c r="BW72" s="34" t="n"/>
      <c r="BX72" s="34" t="n"/>
      <c r="BY72" s="34" t="n"/>
    </row>
    <row r="73" ht="18" customHeight="1">
      <c r="A73" s="33" t="inlineStr">
        <is>
          <t>Jour</t>
        </is>
      </c>
      <c r="B73" s="68" t="n"/>
      <c r="C73" s="34" t="n"/>
      <c r="D73" s="34" t="n"/>
      <c r="E73" s="119" t="n"/>
      <c r="F73" s="93" t="n"/>
      <c r="G73" s="34" t="n"/>
      <c r="H73" s="34" t="n"/>
      <c r="I73" s="44" t="n"/>
      <c r="J73" s="45" t="n"/>
      <c r="K73" s="34" t="n"/>
      <c r="L73" s="34" t="n"/>
      <c r="M73" s="44" t="n"/>
      <c r="N73" s="45" t="n"/>
      <c r="O73" s="34" t="n"/>
      <c r="P73" s="34" t="n"/>
      <c r="Q73" s="44" t="n"/>
      <c r="R73" s="45" t="n"/>
      <c r="S73" s="34" t="n"/>
      <c r="T73" s="34" t="n"/>
      <c r="U73" s="44" t="n"/>
      <c r="V73" s="45" t="n"/>
      <c r="W73" s="34" t="n"/>
      <c r="X73" s="34" t="n"/>
      <c r="Y73" s="44" t="n"/>
      <c r="Z73" s="45" t="n"/>
      <c r="AA73" s="34" t="n"/>
      <c r="AB73" s="34" t="n"/>
      <c r="AC73" s="44" t="n"/>
      <c r="AD73" s="45" t="n"/>
      <c r="AE73" s="34" t="n"/>
      <c r="AF73" s="46" t="n"/>
      <c r="AG73" s="44" t="n"/>
      <c r="AH73" s="45" t="n"/>
      <c r="AI73" s="34" t="n"/>
      <c r="AJ73" s="34" t="n"/>
      <c r="AK73" s="44" t="n"/>
      <c r="AL73" s="45" t="n"/>
      <c r="AM73" s="34" t="n"/>
      <c r="AN73" s="34" t="n"/>
      <c r="AO73" s="44" t="n"/>
      <c r="AP73" s="45" t="n"/>
      <c r="AQ73" s="34" t="n"/>
      <c r="AR73" s="69" t="n"/>
      <c r="AS73" s="44" t="n"/>
      <c r="AT73" s="45" t="n"/>
      <c r="AU73" s="34" t="n"/>
      <c r="AV73" s="34" t="n"/>
      <c r="AW73" s="44" t="n"/>
      <c r="AX73" s="45" t="n"/>
      <c r="AY73" s="34" t="n"/>
      <c r="AZ73" s="34" t="n"/>
      <c r="BA73" s="44" t="n"/>
      <c r="BB73" s="45" t="n"/>
      <c r="BC73" s="34" t="n"/>
      <c r="BD73" s="34" t="n"/>
      <c r="BE73" s="44" t="n"/>
      <c r="BF73" s="45" t="n"/>
      <c r="BG73" s="34" t="n"/>
      <c r="BH73" s="34" t="n"/>
      <c r="BI73" s="34" t="n"/>
      <c r="BJ73" s="34" t="n"/>
      <c r="BK73" s="34" t="n"/>
      <c r="BL73" s="34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4" t="n"/>
      <c r="BW73" s="34" t="n"/>
      <c r="BX73" s="34" t="n"/>
      <c r="BY73" s="34" t="n"/>
    </row>
    <row r="74" ht="18" customHeight="1">
      <c r="A74" s="33" t="inlineStr">
        <is>
          <t>mois</t>
        </is>
      </c>
      <c r="B74" s="68" t="n"/>
      <c r="C74" s="34" t="n"/>
      <c r="D74" s="34" t="n"/>
      <c r="E74" s="44" t="n"/>
      <c r="F74" s="93" t="n"/>
      <c r="G74" s="34" t="n"/>
      <c r="H74" s="34" t="n"/>
      <c r="I74" s="44" t="n"/>
      <c r="J74" s="45" t="n"/>
      <c r="K74" s="34" t="n"/>
      <c r="L74" s="34" t="n"/>
      <c r="M74" s="44" t="n"/>
      <c r="N74" s="45" t="n"/>
      <c r="O74" s="34" t="n"/>
      <c r="P74" s="34" t="n"/>
      <c r="Q74" s="44" t="n"/>
      <c r="R74" s="45" t="n"/>
      <c r="S74" s="34" t="n"/>
      <c r="T74" s="34" t="n"/>
      <c r="U74" s="44" t="n"/>
      <c r="V74" s="45" t="n"/>
      <c r="W74" s="34" t="n"/>
      <c r="X74" s="34" t="n"/>
      <c r="Y74" s="44" t="n"/>
      <c r="Z74" s="45" t="n"/>
      <c r="AA74" s="34" t="n"/>
      <c r="AB74" s="34" t="n"/>
      <c r="AC74" s="44" t="n"/>
      <c r="AD74" s="45" t="n"/>
      <c r="AE74" s="34" t="n"/>
      <c r="AF74" s="34" t="n"/>
      <c r="AG74" s="44" t="n"/>
      <c r="AH74" s="45" t="n"/>
      <c r="AI74" s="34" t="n"/>
      <c r="AJ74" s="34" t="n"/>
      <c r="AK74" s="44" t="n"/>
      <c r="AL74" s="45" t="n"/>
      <c r="AM74" s="34" t="n"/>
      <c r="AN74" s="34" t="n"/>
      <c r="AO74" s="44" t="n"/>
      <c r="AP74" s="45" t="n"/>
      <c r="AQ74" s="34" t="n"/>
      <c r="AR74" s="66" t="n"/>
      <c r="AS74" s="66" t="n"/>
      <c r="AT74" s="66" t="n"/>
      <c r="AU74" s="45" t="n"/>
      <c r="AV74" s="45" t="n"/>
      <c r="AW74" s="45" t="n"/>
      <c r="AX74" s="45" t="n"/>
      <c r="AY74" s="45" t="n"/>
      <c r="AZ74" s="45" t="n"/>
      <c r="BA74" s="45" t="n"/>
      <c r="BB74" s="45" t="n"/>
      <c r="BC74" s="45" t="n"/>
      <c r="BD74" s="34" t="n"/>
      <c r="BE74" s="44" t="n"/>
      <c r="BF74" s="45" t="n"/>
      <c r="BG74" s="34" t="n"/>
      <c r="BH74" s="34" t="n"/>
      <c r="BI74" s="34" t="n"/>
      <c r="BJ74" s="34" t="n"/>
      <c r="BK74" s="34" t="n"/>
      <c r="BL74" s="34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 t="n"/>
      <c r="BV74" s="34" t="n"/>
      <c r="BW74" s="34" t="n"/>
      <c r="BX74" s="34" t="n"/>
      <c r="BY74" s="34" t="n"/>
    </row>
    <row r="75" ht="18" customHeight="1">
      <c r="A75" s="33" t="inlineStr">
        <is>
          <t>année</t>
        </is>
      </c>
      <c r="B75" s="68" t="n"/>
      <c r="C75" s="34" t="n"/>
      <c r="D75" s="34" t="n"/>
      <c r="E75" s="44" t="n"/>
      <c r="F75" s="93" t="n"/>
      <c r="G75" s="34" t="n"/>
      <c r="H75" s="34" t="n"/>
      <c r="I75" s="44" t="n"/>
      <c r="J75" s="45" t="n"/>
      <c r="K75" s="34" t="n"/>
      <c r="L75" s="34" t="n"/>
      <c r="M75" s="44" t="n"/>
      <c r="N75" s="45" t="n"/>
      <c r="O75" s="34" t="n"/>
      <c r="P75" s="34" t="n"/>
      <c r="Q75" s="44" t="n"/>
      <c r="R75" s="45" t="n"/>
      <c r="S75" s="34" t="n"/>
      <c r="T75" s="34" t="n"/>
      <c r="U75" s="44" t="n"/>
      <c r="V75" s="45" t="n"/>
      <c r="W75" s="34" t="n"/>
      <c r="X75" s="34" t="n"/>
      <c r="Y75" s="44" t="n"/>
      <c r="Z75" s="45" t="n"/>
      <c r="AA75" s="34" t="n"/>
      <c r="AB75" s="34" t="n"/>
      <c r="AC75" s="44" t="n"/>
      <c r="AD75" s="45" t="n"/>
      <c r="AE75" s="34" t="n"/>
      <c r="AF75" s="34" t="n"/>
      <c r="AG75" s="44" t="n"/>
      <c r="AH75" s="45" t="n"/>
      <c r="AI75" s="34" t="n"/>
      <c r="AJ75" s="34" t="n"/>
      <c r="AK75" s="44" t="n"/>
      <c r="AL75" s="45" t="n"/>
      <c r="AM75" s="34" t="n"/>
      <c r="AN75" s="34" t="n"/>
      <c r="AO75" s="44" t="n"/>
      <c r="AP75" s="45" t="n"/>
      <c r="AQ75" s="34" t="n"/>
      <c r="AR75" s="69" t="n"/>
      <c r="AS75" s="44" t="n"/>
      <c r="AT75" s="45" t="n"/>
      <c r="AU75" s="34" t="n"/>
      <c r="AV75" s="34" t="n"/>
      <c r="AW75" s="44" t="n"/>
      <c r="AX75" s="45" t="n"/>
      <c r="AY75" s="34" t="n"/>
      <c r="AZ75" s="34" t="n"/>
      <c r="BA75" s="44" t="n"/>
      <c r="BB75" s="45" t="n"/>
      <c r="BC75" s="34" t="n"/>
      <c r="BD75" s="34" t="n"/>
      <c r="BE75" s="44" t="n"/>
      <c r="BF75" s="45" t="n"/>
      <c r="BG75" s="34" t="n"/>
      <c r="BH75" s="34" t="n"/>
      <c r="BI75" s="34" t="n"/>
      <c r="BJ75" s="34" t="n"/>
      <c r="BK75" s="34" t="n"/>
      <c r="BL75" s="34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4" t="n"/>
      <c r="BW75" s="34" t="n"/>
      <c r="BX75" s="34" t="n"/>
      <c r="BY75" s="34" t="n"/>
    </row>
    <row r="76" ht="18" customHeight="1">
      <c r="A76" s="33" t="n"/>
      <c r="B76" s="34" t="n"/>
      <c r="C76" s="34" t="n"/>
      <c r="D76" s="34" t="n"/>
      <c r="E76" s="44" t="n"/>
      <c r="F76" s="93" t="n"/>
      <c r="G76" s="34" t="n"/>
      <c r="H76" s="34" t="n"/>
      <c r="I76" s="44" t="n"/>
      <c r="J76" s="45" t="n"/>
      <c r="K76" s="34" t="n"/>
      <c r="L76" s="34" t="n"/>
      <c r="M76" s="44" t="n"/>
      <c r="N76" s="45" t="n"/>
      <c r="O76" s="34" t="n"/>
      <c r="P76" s="34" t="n"/>
      <c r="Q76" s="44" t="n"/>
      <c r="R76" s="45" t="n"/>
      <c r="S76" s="34" t="n"/>
      <c r="T76" s="34" t="n"/>
      <c r="U76" s="44" t="n"/>
      <c r="V76" s="45" t="n"/>
      <c r="W76" s="34" t="n"/>
      <c r="Y76" s="44" t="n"/>
      <c r="Z76" s="45" t="n"/>
      <c r="AA76" s="34" t="n"/>
      <c r="AB76" s="34" t="n"/>
      <c r="AC76" s="44" t="n"/>
      <c r="AD76" s="45" t="n"/>
      <c r="AE76" s="34" t="n"/>
      <c r="AF76" s="34" t="n"/>
      <c r="AG76" s="44" t="n"/>
      <c r="AH76" s="45" t="n"/>
      <c r="AI76" s="34" t="n"/>
      <c r="AJ76" s="34" t="n"/>
      <c r="AK76" s="44" t="n"/>
      <c r="AL76" s="45" t="n"/>
      <c r="AM76" s="34" t="n"/>
      <c r="AN76" s="34" t="n"/>
      <c r="AO76" s="44" t="n"/>
      <c r="AP76" s="45" t="n"/>
      <c r="AQ76" s="34" t="n"/>
      <c r="AR76" s="69" t="n"/>
      <c r="AS76" s="44" t="n"/>
      <c r="AT76" s="66" t="n"/>
      <c r="AU76" s="66" t="n"/>
      <c r="AV76" s="66" t="n"/>
      <c r="AW76" s="66" t="n"/>
      <c r="AX76" s="45" t="n"/>
      <c r="AY76" s="34" t="n"/>
      <c r="AZ76" s="66" t="n"/>
      <c r="BA76" s="66" t="n"/>
      <c r="BB76" s="45" t="n"/>
      <c r="BC76" s="34" t="n"/>
      <c r="BD76" s="34" t="n"/>
      <c r="BE76" s="44" t="n"/>
      <c r="BF76" s="45" t="n"/>
      <c r="BG76" s="34" t="n"/>
      <c r="BH76" s="34" t="n"/>
      <c r="BI76" s="34" t="n"/>
      <c r="BJ76" s="34" t="n"/>
      <c r="BK76" s="34" t="n"/>
      <c r="BL76" s="34" t="n"/>
      <c r="BM76" s="34" t="n"/>
      <c r="BN76" s="34" t="n"/>
      <c r="BO76" s="34" t="n"/>
      <c r="BP76" s="34" t="n"/>
      <c r="BQ76" s="34" t="n"/>
      <c r="BR76" s="34" t="n"/>
      <c r="BS76" s="34" t="n"/>
      <c r="BT76" s="34" t="n"/>
      <c r="BU76" s="34" t="n"/>
      <c r="BV76" s="34" t="n"/>
      <c r="BW76" s="34" t="n"/>
      <c r="BX76" s="34" t="n"/>
      <c r="BY76" s="34" t="n"/>
    </row>
    <row r="77" ht="18" customHeight="1">
      <c r="A77" s="33" t="n"/>
      <c r="B77" s="34" t="n"/>
      <c r="C77" s="34" t="n"/>
      <c r="D77" s="34" t="n"/>
      <c r="E77" s="44" t="n"/>
      <c r="F77" s="93" t="n"/>
      <c r="G77" s="34" t="n"/>
      <c r="H77" s="34" t="n"/>
      <c r="I77" s="44" t="n"/>
      <c r="J77" s="45" t="n"/>
      <c r="K77" s="34" t="n"/>
      <c r="L77" s="34" t="n"/>
      <c r="M77" s="44" t="n"/>
      <c r="N77" s="45" t="n"/>
      <c r="O77" s="34" t="n"/>
      <c r="P77" s="34" t="n"/>
      <c r="Q77" s="44" t="n"/>
      <c r="R77" s="45" t="n"/>
      <c r="S77" s="34" t="n"/>
      <c r="T77" s="34" t="n"/>
      <c r="U77" s="44" t="n"/>
      <c r="V77" s="45" t="n"/>
      <c r="W77" s="34" t="n"/>
      <c r="Y77" s="44" t="n"/>
      <c r="Z77" s="45" t="n"/>
      <c r="AA77" s="34" t="n"/>
      <c r="AB77" s="34" t="n"/>
      <c r="AC77" s="44" t="n"/>
      <c r="AD77" s="45" t="n"/>
      <c r="AE77" s="34" t="n"/>
      <c r="AF77" s="34" t="n"/>
      <c r="AG77" s="44" t="n"/>
      <c r="AH77" s="45" t="n"/>
      <c r="AI77" s="34" t="n"/>
      <c r="AJ77" s="34" t="n"/>
      <c r="AK77" s="44" t="n"/>
      <c r="AL77" s="45" t="n"/>
      <c r="AM77" s="34" t="n"/>
      <c r="AN77" s="34" t="n"/>
      <c r="AO77" s="44" t="n"/>
      <c r="AP77" s="45" t="n"/>
      <c r="AQ77" s="34" t="n"/>
      <c r="AR77" s="69" t="n"/>
      <c r="AS77" s="44" t="n"/>
      <c r="AT77" s="45" t="n"/>
      <c r="AU77" s="34" t="n"/>
      <c r="AW77" s="44" t="n"/>
      <c r="AX77" s="45" t="n"/>
      <c r="AY77" s="34" t="n"/>
      <c r="BA77" s="44" t="n"/>
      <c r="BB77" s="45" t="n"/>
      <c r="BC77" s="34" t="n"/>
      <c r="BD77" s="34" t="n"/>
      <c r="BE77" s="44" t="n"/>
      <c r="BF77" s="45" t="n"/>
      <c r="BG77" s="34" t="n"/>
      <c r="BH77" s="34" t="n"/>
      <c r="BI77" s="34" t="n"/>
      <c r="BJ77" s="34" t="n"/>
      <c r="BK77" s="34" t="n"/>
      <c r="BL77" s="34" t="n"/>
      <c r="BM77" s="34" t="n"/>
      <c r="BN77" s="34" t="n"/>
      <c r="BO77" s="34" t="n"/>
      <c r="BP77" s="34" t="n"/>
      <c r="BQ77" s="34" t="n"/>
      <c r="BR77" s="34" t="n"/>
      <c r="BS77" s="34" t="n"/>
      <c r="BT77" s="34" t="n"/>
      <c r="BU77" s="34" t="n"/>
      <c r="BV77" s="34" t="n"/>
      <c r="BW77" s="34" t="n"/>
      <c r="BX77" s="34" t="n"/>
      <c r="BY77" s="34" t="n"/>
    </row>
    <row r="78" ht="18" customHeight="1">
      <c r="A78" s="33" t="n"/>
      <c r="B78" s="34" t="n"/>
      <c r="C78" s="34" t="n"/>
      <c r="D78" s="34" t="n"/>
      <c r="E78" s="44" t="n"/>
      <c r="F78" s="93" t="n"/>
      <c r="G78" s="34" t="n"/>
      <c r="H78" s="34" t="n"/>
      <c r="I78" s="44" t="n"/>
      <c r="J78" s="45" t="n"/>
      <c r="K78" s="34" t="n"/>
      <c r="L78" s="34" t="n"/>
      <c r="M78" s="44" t="n"/>
      <c r="N78" s="45" t="n"/>
      <c r="O78" s="34" t="n"/>
      <c r="P78" s="34" t="n"/>
      <c r="Q78" s="44" t="n"/>
      <c r="R78" s="45" t="n"/>
      <c r="S78" s="34" t="n"/>
      <c r="T78" s="34" t="n"/>
      <c r="U78" s="44" t="n"/>
      <c r="V78" s="45" t="n"/>
      <c r="W78" s="34" t="n"/>
      <c r="X78" s="46" t="n"/>
      <c r="Y78" s="44" t="n"/>
      <c r="Z78" s="45" t="n"/>
      <c r="AA78" s="34" t="n"/>
      <c r="AB78" s="34" t="n"/>
      <c r="AC78" s="44" t="n"/>
      <c r="AD78" s="45" t="n"/>
      <c r="AE78" s="34" t="n"/>
      <c r="AF78" s="34" t="n"/>
      <c r="AG78" s="44" t="n"/>
      <c r="AH78" s="45" t="n"/>
      <c r="AI78" s="34" t="n"/>
      <c r="AJ78" s="34" t="n"/>
      <c r="AK78" s="44" t="n"/>
      <c r="AL78" s="45" t="n"/>
      <c r="AM78" s="34" t="n"/>
      <c r="AN78" s="34" t="n"/>
      <c r="AO78" s="44" t="n"/>
      <c r="AP78" s="45" t="n"/>
      <c r="AQ78" s="34" t="n"/>
      <c r="AR78" s="69" t="n"/>
      <c r="AS78" s="44" t="n"/>
      <c r="AT78" s="66" t="n"/>
      <c r="AU78" s="45" t="n"/>
      <c r="AW78" s="45" t="n"/>
      <c r="AX78" s="45" t="n"/>
      <c r="AY78" s="34" t="n"/>
      <c r="BA78" s="45" t="n"/>
      <c r="BB78" s="45" t="n"/>
      <c r="BC78" s="34" t="n"/>
      <c r="BD78" s="34" t="n"/>
      <c r="BE78" s="44" t="n"/>
      <c r="BF78" s="45" t="n"/>
      <c r="BG78" s="34" t="n"/>
      <c r="BH78" s="34" t="n"/>
      <c r="BI78" s="34" t="n"/>
      <c r="BJ78" s="34" t="n"/>
      <c r="BK78" s="34" t="n"/>
      <c r="BL78" s="34" t="n"/>
      <c r="BM78" s="34" t="n"/>
      <c r="BN78" s="34" t="n"/>
      <c r="BO78" s="34" t="n"/>
      <c r="BP78" s="34" t="n"/>
      <c r="BQ78" s="34" t="n"/>
      <c r="BR78" s="34" t="n"/>
      <c r="BS78" s="34" t="n"/>
      <c r="BT78" s="34" t="n"/>
      <c r="BU78" s="34" t="n"/>
      <c r="BV78" s="34" t="n"/>
      <c r="BW78" s="34" t="n"/>
      <c r="BX78" s="34" t="n"/>
      <c r="BY78" s="34" t="n"/>
    </row>
    <row r="79" ht="18" customHeight="1">
      <c r="A79" s="33" t="n"/>
      <c r="B79" s="34" t="n"/>
      <c r="C79" s="34" t="n"/>
      <c r="D79" s="34" t="n"/>
      <c r="E79" s="44" t="n"/>
      <c r="F79" s="45" t="n"/>
      <c r="G79" s="34" t="n"/>
      <c r="H79" s="34" t="n"/>
      <c r="I79" s="44" t="n"/>
      <c r="J79" s="45" t="n"/>
      <c r="K79" s="34" t="n"/>
      <c r="L79" s="34" t="n"/>
      <c r="M79" s="44" t="n"/>
      <c r="N79" s="45" t="n"/>
      <c r="O79" s="34" t="n"/>
      <c r="P79" s="34" t="n"/>
      <c r="Q79" s="44" t="n"/>
      <c r="R79" s="45" t="n"/>
      <c r="S79" s="34" t="n"/>
      <c r="T79" s="34" t="n"/>
      <c r="U79" s="44" t="n"/>
      <c r="V79" s="45" t="n"/>
      <c r="W79" s="34" t="n"/>
      <c r="X79" s="34" t="n"/>
      <c r="Y79" s="44" t="n"/>
      <c r="Z79" s="45" t="n"/>
      <c r="AA79" s="34" t="n"/>
      <c r="AB79" s="34" t="n"/>
      <c r="AC79" s="44" t="n"/>
      <c r="AD79" s="45" t="n"/>
      <c r="AE79" s="34" t="n"/>
      <c r="AF79" s="34" t="n"/>
      <c r="AG79" s="44" t="n"/>
      <c r="AH79" s="45" t="n"/>
      <c r="AI79" s="34" t="n"/>
      <c r="AJ79" s="34" t="n"/>
      <c r="AK79" s="44" t="n"/>
      <c r="AL79" s="45" t="n"/>
      <c r="AM79" s="34" t="n"/>
      <c r="AN79" s="34" t="n"/>
      <c r="AO79" s="44" t="n"/>
      <c r="AP79" s="45" t="n"/>
      <c r="AQ79" s="34" t="n"/>
      <c r="AR79" s="69" t="n"/>
      <c r="AS79" s="44" t="n"/>
      <c r="AT79" s="45" t="n"/>
      <c r="AU79" s="34" t="n"/>
      <c r="AW79" s="44" t="n"/>
      <c r="AX79" s="45" t="n"/>
      <c r="AY79" s="34" t="n"/>
      <c r="BA79" s="44" t="n"/>
      <c r="BB79" s="45" t="n"/>
      <c r="BC79" s="34" t="n"/>
      <c r="BD79" s="34" t="n"/>
      <c r="BE79" s="44" t="n"/>
      <c r="BF79" s="45" t="n"/>
      <c r="BG79" s="34" t="n"/>
      <c r="BH79" s="34" t="n"/>
      <c r="BI79" s="34" t="n"/>
      <c r="BJ79" s="34" t="n"/>
      <c r="BK79" s="34" t="n"/>
      <c r="BL79" s="34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4" t="n"/>
      <c r="BW79" s="34" t="n"/>
      <c r="BX79" s="34" t="n"/>
      <c r="BY79" s="34" t="n"/>
    </row>
    <row r="80" ht="18" customHeight="1">
      <c r="A80" s="33" t="n"/>
      <c r="B80" s="34" t="n"/>
      <c r="C80" s="34" t="n"/>
      <c r="D80" s="34" t="n"/>
      <c r="E80" s="44" t="n"/>
      <c r="F80" s="45" t="n"/>
      <c r="G80" s="34" t="n"/>
      <c r="H80" s="34" t="n"/>
      <c r="I80" s="44" t="n"/>
      <c r="J80" s="45" t="n"/>
      <c r="K80" s="34" t="n"/>
      <c r="L80" s="34" t="n"/>
      <c r="M80" s="44" t="n"/>
      <c r="N80" s="45" t="n"/>
      <c r="O80" s="34" t="n"/>
      <c r="P80" s="34" t="n"/>
      <c r="Q80" s="44" t="n"/>
      <c r="R80" s="45" t="n"/>
      <c r="S80" s="34" t="n"/>
      <c r="T80" s="34" t="n"/>
      <c r="U80" s="44" t="n"/>
      <c r="V80" s="45" t="n"/>
      <c r="W80" s="34" t="n"/>
      <c r="X80" s="34" t="n"/>
      <c r="Y80" s="44" t="n"/>
      <c r="Z80" s="45" t="n"/>
      <c r="AA80" s="34" t="n"/>
      <c r="AB80" s="34" t="n"/>
      <c r="AC80" s="44" t="n"/>
      <c r="AD80" s="45" t="n"/>
      <c r="AE80" s="34" t="n"/>
      <c r="AF80" s="34" t="n"/>
      <c r="AG80" s="44" t="n"/>
      <c r="AH80" s="45" t="n"/>
      <c r="AI80" s="34" t="n"/>
      <c r="AJ80" s="34" t="n"/>
      <c r="AK80" s="44" t="n"/>
      <c r="AL80" s="45" t="n"/>
      <c r="AM80" s="34" t="n"/>
      <c r="AN80" s="34" t="n"/>
      <c r="AO80" s="44" t="n"/>
      <c r="AP80" s="45" t="n"/>
      <c r="AQ80" s="34" t="n"/>
      <c r="AR80" s="103" t="n"/>
      <c r="AS80" s="44" t="n"/>
      <c r="AT80" s="66" t="n"/>
      <c r="AU80" s="66" t="n"/>
      <c r="AW80" s="66" t="n"/>
      <c r="AX80" s="45" t="n"/>
      <c r="AY80" s="34" t="n"/>
      <c r="BA80" s="66" t="n"/>
      <c r="BB80" s="45" t="n"/>
      <c r="BC80" s="34" t="n"/>
      <c r="BD80" s="34" t="n"/>
      <c r="BE80" s="44" t="n"/>
      <c r="BF80" s="45" t="n"/>
      <c r="BG80" s="34" t="n"/>
      <c r="BH80" s="34" t="n"/>
      <c r="BI80" s="34" t="n"/>
      <c r="BJ80" s="34" t="n"/>
      <c r="BK80" s="34" t="n"/>
      <c r="BL80" s="34" t="n"/>
      <c r="BM80" s="34" t="n"/>
      <c r="BN80" s="34" t="n"/>
      <c r="BO80" s="34" t="n"/>
      <c r="BP80" s="34" t="n"/>
      <c r="BQ80" s="34" t="n"/>
      <c r="BR80" s="34" t="n"/>
      <c r="BS80" s="34" t="n"/>
      <c r="BT80" s="34" t="n"/>
      <c r="BU80" s="34" t="n"/>
      <c r="BV80" s="34" t="n"/>
      <c r="BW80" s="34" t="n"/>
      <c r="BX80" s="34" t="n"/>
      <c r="BY80" s="34" t="n"/>
    </row>
    <row r="81" ht="18" customHeight="1">
      <c r="D81" s="34" t="n"/>
      <c r="E81" s="44" t="n"/>
      <c r="F81" s="45" t="n"/>
      <c r="G81" s="34" t="n"/>
      <c r="H81" s="34" t="n"/>
      <c r="I81" s="44" t="n"/>
      <c r="J81" s="45" t="n"/>
      <c r="K81" s="34" t="n"/>
      <c r="X81" s="34" t="n"/>
      <c r="AF81" s="34" t="n"/>
      <c r="AG81" s="44" t="n"/>
      <c r="AH81" s="45" t="n"/>
      <c r="AI81" s="34" t="n"/>
      <c r="AJ81" s="34" t="n"/>
      <c r="AK81" s="44" t="n"/>
      <c r="AL81" s="45" t="n"/>
      <c r="AM81" s="34" t="n"/>
      <c r="AN81" s="34" t="n"/>
      <c r="AO81" s="44" t="n"/>
      <c r="AP81" s="45" t="n"/>
      <c r="AR81" s="69" t="n"/>
      <c r="AS81" s="69" t="n"/>
      <c r="AT81" s="69" t="n"/>
      <c r="AU81" s="34" t="n"/>
      <c r="AW81" s="44" t="n"/>
      <c r="BA81" s="44" t="n"/>
    </row>
    <row r="82" ht="18" customHeight="1">
      <c r="D82" s="34" t="n"/>
      <c r="E82" s="44" t="n"/>
      <c r="F82" s="45" t="n"/>
      <c r="G82" s="34" t="n"/>
      <c r="H82" s="34" t="n"/>
      <c r="I82" s="44" t="n"/>
      <c r="J82" s="45" t="n"/>
      <c r="K82" s="34" t="n"/>
      <c r="L82" s="34" t="n"/>
      <c r="X82" s="34" t="n"/>
      <c r="AF82" s="34" t="n"/>
      <c r="AG82" s="44" t="n"/>
      <c r="AH82" s="45" t="n"/>
      <c r="AJ82" s="34" t="n"/>
      <c r="AK82" s="44" t="n"/>
      <c r="AL82" s="45" t="n"/>
      <c r="AM82" s="34" t="n"/>
      <c r="AN82" s="34" t="n"/>
      <c r="AO82" s="44" t="n"/>
      <c r="AP82" s="45" t="n"/>
      <c r="AR82" s="69" t="n"/>
      <c r="AS82" s="44" t="n"/>
      <c r="AT82" s="66" t="n"/>
      <c r="AU82" s="45" t="n"/>
      <c r="AW82" s="45" t="n"/>
      <c r="BA82" s="45" t="n"/>
    </row>
    <row r="83" ht="18" customHeight="1">
      <c r="D83" s="34" t="n"/>
      <c r="E83" s="44" t="n"/>
      <c r="F83" s="45" t="n"/>
      <c r="G83" s="34" t="n"/>
      <c r="H83" s="34" t="n"/>
      <c r="I83" s="44" t="n"/>
      <c r="J83" s="45" t="n"/>
      <c r="K83" s="34" t="n"/>
      <c r="X83" s="34" t="n"/>
      <c r="AF83" s="34" t="n"/>
      <c r="AG83" s="44" t="n"/>
      <c r="AH83" s="45" t="n"/>
      <c r="AI83" s="34" t="n"/>
      <c r="AJ83" s="34" t="n"/>
      <c r="AK83" s="44" t="n"/>
      <c r="AL83" s="45" t="n"/>
      <c r="AM83" s="34" t="n"/>
      <c r="AN83" s="34" t="n"/>
      <c r="AO83" s="44" t="n"/>
      <c r="AP83" s="45" t="n"/>
      <c r="AR83" s="69" t="n"/>
      <c r="AS83" s="44" t="n"/>
      <c r="AT83" s="45" t="n"/>
      <c r="AU83" s="34" t="n"/>
      <c r="AW83" s="44" t="n"/>
      <c r="BA83" s="44" t="n"/>
    </row>
    <row r="84" ht="18" customHeight="1">
      <c r="D84" s="34" t="n"/>
      <c r="E84" s="44" t="n"/>
      <c r="F84" s="45" t="n"/>
      <c r="G84" s="34" t="n"/>
      <c r="H84" s="34" t="n"/>
      <c r="I84" s="44" t="n"/>
      <c r="J84" s="45" t="n"/>
      <c r="K84" s="34" t="n"/>
      <c r="X84" s="34" t="n"/>
      <c r="AF84" s="34" t="n"/>
      <c r="AR84" s="69" t="n"/>
      <c r="AS84" s="44" t="n"/>
      <c r="AT84" s="66" t="n"/>
      <c r="AU84" s="66" t="n"/>
      <c r="AW84" s="66" t="n"/>
      <c r="BA84" s="66" t="n"/>
    </row>
    <row r="85" ht="18" customHeight="1">
      <c r="D85" s="34" t="n"/>
      <c r="E85" s="44" t="n"/>
      <c r="F85" s="45" t="n"/>
      <c r="G85" s="34" t="n"/>
      <c r="H85" s="34" t="n"/>
      <c r="I85" s="44" t="n"/>
      <c r="J85" s="45" t="n"/>
      <c r="K85" s="34" t="n"/>
      <c r="X85" s="34" t="n"/>
      <c r="AF85" s="34" t="n"/>
      <c r="AT85" s="45" t="n"/>
      <c r="AU85" s="34" t="n"/>
      <c r="AW85" s="44" t="n"/>
      <c r="BA85" s="44" t="n"/>
    </row>
    <row r="86" ht="18" customHeight="1">
      <c r="D86" s="34" t="n"/>
      <c r="E86" s="44" t="n"/>
      <c r="F86" s="45" t="n"/>
      <c r="G86" s="34" t="n"/>
      <c r="H86" s="34" t="n"/>
      <c r="I86" s="44" t="n"/>
      <c r="J86" s="45" t="n"/>
      <c r="K86" s="34" t="n"/>
      <c r="X86" s="34" t="n"/>
      <c r="AF86" s="34" t="n"/>
      <c r="AT86" s="66" t="n"/>
      <c r="AU86" s="45" t="n"/>
      <c r="AW86" s="45" t="n"/>
      <c r="BA86" s="45" t="n"/>
    </row>
    <row r="87" ht="18" customHeight="1">
      <c r="E87" s="44" t="n"/>
      <c r="F87" s="45" t="n"/>
      <c r="G87" s="34" t="n"/>
      <c r="H87" s="34" t="n"/>
      <c r="I87" s="44" t="n"/>
      <c r="J87" s="45" t="n"/>
      <c r="K87" s="34" t="n"/>
      <c r="X87" s="34" t="n"/>
      <c r="AF87" s="34" t="n"/>
      <c r="AT87" s="45" t="n"/>
      <c r="AU87" s="34" t="n"/>
      <c r="AW87" s="44" t="n"/>
      <c r="BA87" s="44" t="n"/>
    </row>
    <row r="88" ht="18" customHeight="1">
      <c r="E88" s="44" t="n"/>
      <c r="F88" s="45" t="n"/>
      <c r="G88" s="34" t="n"/>
      <c r="H88" s="34" t="n"/>
      <c r="I88" s="44" t="n"/>
      <c r="J88" s="45" t="n"/>
      <c r="K88" s="34" t="n"/>
      <c r="X88" s="34" t="n"/>
      <c r="AF88" s="34" t="n"/>
      <c r="AU88" s="34" t="n"/>
    </row>
    <row r="89" ht="18" customHeight="1">
      <c r="E89" s="44" t="n"/>
      <c r="F89" s="45" t="n"/>
      <c r="G89" s="34" t="n"/>
      <c r="H89" s="34" t="n"/>
      <c r="I89" s="44" t="n"/>
      <c r="J89" s="45" t="n"/>
      <c r="K89" s="34" t="n"/>
      <c r="AF89" s="34" t="n"/>
      <c r="AU89" s="34" t="n"/>
    </row>
    <row r="90" ht="18" customHeight="1">
      <c r="E90" s="44" t="n"/>
      <c r="F90" s="45" t="n"/>
      <c r="G90" s="34" t="n"/>
      <c r="H90" s="34" t="n"/>
      <c r="I90" s="44" t="n"/>
      <c r="J90" s="45" t="n"/>
      <c r="K90" s="34" t="n"/>
      <c r="AF90" s="34" t="n"/>
      <c r="AU90" s="34" t="n"/>
    </row>
    <row r="91" ht="18" customHeight="1">
      <c r="E91" s="44" t="n"/>
      <c r="F91" s="45" t="n"/>
      <c r="G91" s="34" t="n"/>
      <c r="H91" s="34" t="n"/>
      <c r="I91" s="44" t="n"/>
      <c r="J91" s="45" t="n"/>
      <c r="K91" s="34" t="n"/>
      <c r="AU91" s="34" t="n"/>
    </row>
    <row r="92" ht="18" customHeight="1">
      <c r="AU92" s="34" t="n"/>
    </row>
    <row r="93" ht="18" customHeight="1">
      <c r="AU93" s="34" t="n"/>
    </row>
    <row r="94" ht="18" customHeight="1">
      <c r="AU94" s="34" t="n"/>
    </row>
    <row r="95" ht="18" customHeight="1">
      <c r="AU95" s="34" t="n"/>
    </row>
  </sheetData>
  <autoFilter ref="A4:BG67"/>
  <mergeCells count="14">
    <mergeCell ref="L5:O5"/>
    <mergeCell ref="AZ5:BC5"/>
    <mergeCell ref="P5:S5"/>
    <mergeCell ref="AJ5:AM5"/>
    <mergeCell ref="AN5:AQ5"/>
    <mergeCell ref="BD5:BG5"/>
    <mergeCell ref="AR5:AU5"/>
    <mergeCell ref="X5:AA5"/>
    <mergeCell ref="AF5:AI5"/>
    <mergeCell ref="D5:G5"/>
    <mergeCell ref="T5:W5"/>
    <mergeCell ref="AB5:AE5"/>
    <mergeCell ref="H5:K5"/>
    <mergeCell ref="AV5:AY5"/>
  </mergeCells>
  <pageMargins left="0.287401575" right="0.287401575" top="0.984251969" bottom="0.984251969" header="0.4921259845" footer="0.4921259845"/>
  <pageSetup orientation="portrait" paperSize="9" scale="56" fitToWidth="0" horizontalDpi="4294967292"/>
  <colBreaks count="1" manualBreakCount="1">
    <brk id="60" min="6" max="74" man="1"/>
  </col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Auditeur De Nuit</dc:creator>
  <dcterms:created xmlns:dcterms="http://purl.org/dc/terms/" xmlns:xsi="http://www.w3.org/2001/XMLSchema-instance" xsi:type="dcterms:W3CDTF">2000-09-26T19:59:19Z</dcterms:created>
  <dcterms:modified xmlns:dcterms="http://purl.org/dc/terms/" xmlns:xsi="http://www.w3.org/2001/XMLSchema-instance" xsi:type="dcterms:W3CDTF">2026-02-22T17:05:38Z</dcterms:modified>
  <cp:lastModifiedBy>Auditeur De Nuit</cp:lastModifiedBy>
  <cp:lastPrinted>2025-12-14T10:31:19Z</cp:lastPrinted>
</cp:coreProperties>
</file>