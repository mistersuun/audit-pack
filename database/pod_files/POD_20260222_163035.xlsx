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POURBOIRE 2026\"/>
    </mc:Choice>
  </mc:AlternateContent>
  <xr:revisionPtr revIDLastSave="0" documentId="13_ncr:1_{5CAA62A1-CE5A-4697-8EAF-835EC51B6722}" xr6:coauthVersionLast="47" xr6:coauthVersionMax="47" xr10:uidLastSave="{00000000-0000-0000-0000-000000000000}"/>
  <workbookProtection workbookAlgorithmName="SHA-512" workbookHashValue="WwMOylEa1/ZP44pd5/YDF+nrDuxMmS3a0yuOTC+V+lanYzqa9mppAeUbgcwlQumDcUY/Ysb1JVkVnOphCfoWCg==" workbookSaltValue="Jg5iiChGR3RVsmXGePB92A==" workbookSpinCount="100000" lockStructure="1"/>
  <bookViews>
    <workbookView xWindow="-120" yWindow="-120" windowWidth="29040" windowHeight="15720" activeTab="1" xr2:uid="{00000000-000D-0000-FFFF-FFFF00000000}"/>
  </bookViews>
  <sheets>
    <sheet name="Feuil1" sheetId="9" r:id="rId1"/>
    <sheet name="Sommaire" sheetId="1" r:id="rId2"/>
  </sheets>
  <definedNames>
    <definedName name="\0">#REF!</definedName>
    <definedName name="_xlnm._FilterDatabase" localSheetId="0" hidden="1">Feuil1!$A$1:$P$62</definedName>
    <definedName name="_xlnm._FilterDatabase" localSheetId="1" hidden="1">Sommaire!$A$4:$BG$67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m_imprimer">#REF!</definedName>
    <definedName name="m_recherche">#REF!</definedName>
    <definedName name="macro_de_vidange">#REF!</definedName>
    <definedName name="macro_debut">#REF!</definedName>
    <definedName name="_xlnm.Print_Area" localSheetId="0">Feuil1!$A$1:$Q$63</definedName>
    <definedName name="_xlnm.Print_Area" localSheetId="1">Sommaire!$D$7:$BP$68</definedName>
    <definedName name="_xlnm.Print_Titles" localSheetId="1">Sommaire!$A:$C,Sommaire!$1:$6</definedName>
    <definedName name="recherche">#N/A</definedName>
  </definedNames>
  <calcPr calcId="191029"/>
</workbook>
</file>

<file path=xl/calcChain.xml><?xml version="1.0" encoding="utf-8"?>
<calcChain xmlns="http://schemas.openxmlformats.org/spreadsheetml/2006/main">
  <c r="BD69" i="1" l="1"/>
  <c r="BE30" i="1"/>
  <c r="BD30" i="1"/>
  <c r="BE37" i="1"/>
  <c r="BD37" i="1"/>
  <c r="BE56" i="1"/>
  <c r="BD56" i="1"/>
  <c r="AZ56" i="1"/>
  <c r="BA16" i="1"/>
  <c r="AZ16" i="1"/>
  <c r="BA48" i="1"/>
  <c r="AZ10" i="1"/>
  <c r="AZ48" i="1"/>
  <c r="BA10" i="1"/>
  <c r="AZ69" i="1"/>
  <c r="BA25" i="1"/>
  <c r="AZ25" i="1"/>
  <c r="BA56" i="1"/>
  <c r="BA43" i="1"/>
  <c r="AZ43" i="1"/>
  <c r="BA37" i="1"/>
  <c r="AZ37" i="1"/>
  <c r="BA17" i="1"/>
  <c r="AZ17" i="1"/>
  <c r="BA34" i="1"/>
  <c r="AZ34" i="1"/>
  <c r="AR48" i="1"/>
  <c r="AR69" i="1"/>
  <c r="AR14" i="1"/>
  <c r="AR45" i="1"/>
  <c r="AR43" i="1"/>
  <c r="AN62" i="1" l="1"/>
  <c r="AO17" i="1"/>
  <c r="AN17" i="1"/>
  <c r="AO34" i="1"/>
  <c r="AO13" i="1"/>
  <c r="AN13" i="1"/>
  <c r="AN34" i="1"/>
  <c r="AN69" i="1"/>
  <c r="AB69" i="1"/>
  <c r="AB37" i="1"/>
  <c r="AW17" i="1"/>
  <c r="AV17" i="1"/>
  <c r="AW13" i="1"/>
  <c r="AV13" i="1"/>
  <c r="AV69" i="1"/>
  <c r="AS43" i="1"/>
  <c r="AR34" i="1"/>
  <c r="AS34" i="1"/>
  <c r="D28" i="1"/>
  <c r="D35" i="1"/>
  <c r="E16" i="1"/>
  <c r="D16" i="1"/>
  <c r="E21" i="1"/>
  <c r="D21" i="1"/>
  <c r="E10" i="1"/>
  <c r="D10" i="1"/>
  <c r="E25" i="1"/>
  <c r="D25" i="1"/>
  <c r="D37" i="1"/>
  <c r="D19" i="1"/>
  <c r="E56" i="1"/>
  <c r="D56" i="1"/>
  <c r="D9" i="1"/>
  <c r="E28" i="1"/>
  <c r="E13" i="1"/>
  <c r="D13" i="1"/>
  <c r="AF69" i="1"/>
  <c r="AK13" i="1"/>
  <c r="AJ13" i="1"/>
  <c r="AK34" i="1"/>
  <c r="AJ34" i="1"/>
  <c r="AJ37" i="1"/>
  <c r="AK17" i="1"/>
  <c r="AJ17" i="1"/>
  <c r="X37" i="1"/>
  <c r="X17" i="1"/>
  <c r="T34" i="1"/>
  <c r="X69" i="1"/>
  <c r="T69" i="1"/>
  <c r="AJ69" i="1"/>
  <c r="AK37" i="1"/>
  <c r="Y17" i="1"/>
  <c r="Y37" i="1"/>
  <c r="AG13" i="1"/>
  <c r="AF13" i="1"/>
  <c r="AC37" i="1"/>
  <c r="U43" i="1"/>
  <c r="T43" i="1"/>
  <c r="U34" i="1"/>
  <c r="U17" i="1"/>
  <c r="T17" i="1"/>
  <c r="P69" i="1"/>
  <c r="L69" i="1"/>
  <c r="M37" i="1"/>
  <c r="L37" i="1"/>
  <c r="M17" i="1"/>
  <c r="L17" i="1"/>
  <c r="M13" i="1"/>
  <c r="L13" i="1"/>
  <c r="M34" i="1"/>
  <c r="L34" i="1"/>
  <c r="H69" i="1"/>
  <c r="D69" i="1"/>
  <c r="H5" i="1"/>
  <c r="D68" i="1" l="1"/>
  <c r="B60" i="9"/>
  <c r="C60" i="9" s="1"/>
  <c r="D60" i="9"/>
  <c r="B58" i="9"/>
  <c r="C58" i="9" s="1"/>
  <c r="D58" i="9"/>
  <c r="B59" i="9"/>
  <c r="C59" i="9" s="1"/>
  <c r="D59" i="9"/>
  <c r="B4" i="9"/>
  <c r="C4" i="9" s="1"/>
  <c r="D4" i="9"/>
  <c r="B5" i="9"/>
  <c r="C5" i="9" s="1"/>
  <c r="D5" i="9"/>
  <c r="B6" i="9"/>
  <c r="C6" i="9" s="1"/>
  <c r="D6" i="9"/>
  <c r="B7" i="9"/>
  <c r="C7" i="9" s="1"/>
  <c r="D7" i="9"/>
  <c r="B8" i="9"/>
  <c r="C8" i="9" s="1"/>
  <c r="D8" i="9"/>
  <c r="B9" i="9"/>
  <c r="C9" i="9" s="1"/>
  <c r="D9" i="9"/>
  <c r="B10" i="9"/>
  <c r="C10" i="9" s="1"/>
  <c r="D10" i="9"/>
  <c r="B11" i="9"/>
  <c r="C11" i="9" s="1"/>
  <c r="D11" i="9"/>
  <c r="B12" i="9"/>
  <c r="C12" i="9" s="1"/>
  <c r="D12" i="9"/>
  <c r="B13" i="9"/>
  <c r="C13" i="9" s="1"/>
  <c r="D13" i="9"/>
  <c r="B14" i="9"/>
  <c r="C14" i="9" s="1"/>
  <c r="D14" i="9"/>
  <c r="B15" i="9"/>
  <c r="C15" i="9" s="1"/>
  <c r="D15" i="9"/>
  <c r="B16" i="9"/>
  <c r="C16" i="9" s="1"/>
  <c r="D16" i="9"/>
  <c r="B17" i="9"/>
  <c r="C17" i="9" s="1"/>
  <c r="D17" i="9"/>
  <c r="B18" i="9"/>
  <c r="C18" i="9" s="1"/>
  <c r="D18" i="9"/>
  <c r="B19" i="9"/>
  <c r="C19" i="9" s="1"/>
  <c r="D19" i="9"/>
  <c r="B20" i="9"/>
  <c r="C20" i="9" s="1"/>
  <c r="D20" i="9"/>
  <c r="B21" i="9"/>
  <c r="C21" i="9" s="1"/>
  <c r="D21" i="9"/>
  <c r="B22" i="9"/>
  <c r="C22" i="9" s="1"/>
  <c r="D22" i="9"/>
  <c r="B23" i="9"/>
  <c r="C23" i="9" s="1"/>
  <c r="D23" i="9"/>
  <c r="B24" i="9"/>
  <c r="C24" i="9" s="1"/>
  <c r="D24" i="9"/>
  <c r="B25" i="9"/>
  <c r="C25" i="9" s="1"/>
  <c r="D25" i="9"/>
  <c r="B26" i="9"/>
  <c r="C26" i="9" s="1"/>
  <c r="D26" i="9"/>
  <c r="B27" i="9"/>
  <c r="C27" i="9" s="1"/>
  <c r="D27" i="9"/>
  <c r="B28" i="9"/>
  <c r="C28" i="9" s="1"/>
  <c r="D28" i="9"/>
  <c r="B29" i="9"/>
  <c r="C29" i="9" s="1"/>
  <c r="D29" i="9"/>
  <c r="B30" i="9"/>
  <c r="C30" i="9" s="1"/>
  <c r="D30" i="9"/>
  <c r="B31" i="9"/>
  <c r="C31" i="9" s="1"/>
  <c r="D31" i="9"/>
  <c r="B32" i="9"/>
  <c r="C32" i="9" s="1"/>
  <c r="D32" i="9"/>
  <c r="B33" i="9"/>
  <c r="C33" i="9" s="1"/>
  <c r="D33" i="9"/>
  <c r="B34" i="9"/>
  <c r="C34" i="9" s="1"/>
  <c r="D34" i="9"/>
  <c r="B35" i="9"/>
  <c r="C35" i="9" s="1"/>
  <c r="D35" i="9"/>
  <c r="B36" i="9"/>
  <c r="C36" i="9" s="1"/>
  <c r="D36" i="9"/>
  <c r="B37" i="9"/>
  <c r="C37" i="9" s="1"/>
  <c r="D37" i="9"/>
  <c r="B38" i="9"/>
  <c r="C38" i="9" s="1"/>
  <c r="D38" i="9"/>
  <c r="B39" i="9"/>
  <c r="C39" i="9" s="1"/>
  <c r="D39" i="9"/>
  <c r="B40" i="9"/>
  <c r="C40" i="9" s="1"/>
  <c r="D40" i="9"/>
  <c r="B41" i="9"/>
  <c r="C41" i="9" s="1"/>
  <c r="D41" i="9"/>
  <c r="B42" i="9"/>
  <c r="C42" i="9" s="1"/>
  <c r="D42" i="9"/>
  <c r="B43" i="9"/>
  <c r="C43" i="9" s="1"/>
  <c r="D43" i="9"/>
  <c r="B44" i="9"/>
  <c r="C44" i="9" s="1"/>
  <c r="D44" i="9"/>
  <c r="B45" i="9"/>
  <c r="C45" i="9" s="1"/>
  <c r="D45" i="9"/>
  <c r="B46" i="9"/>
  <c r="C46" i="9" s="1"/>
  <c r="D46" i="9"/>
  <c r="B47" i="9"/>
  <c r="C47" i="9" s="1"/>
  <c r="D47" i="9"/>
  <c r="B48" i="9"/>
  <c r="C48" i="9" s="1"/>
  <c r="D48" i="9"/>
  <c r="B49" i="9"/>
  <c r="C49" i="9" s="1"/>
  <c r="D49" i="9"/>
  <c r="B50" i="9"/>
  <c r="C50" i="9" s="1"/>
  <c r="D50" i="9"/>
  <c r="B51" i="9"/>
  <c r="C51" i="9" s="1"/>
  <c r="D51" i="9"/>
  <c r="B52" i="9"/>
  <c r="C52" i="9" s="1"/>
  <c r="D52" i="9"/>
  <c r="B53" i="9"/>
  <c r="C53" i="9" s="1"/>
  <c r="D53" i="9"/>
  <c r="B54" i="9"/>
  <c r="C54" i="9" s="1"/>
  <c r="D54" i="9"/>
  <c r="B55" i="9"/>
  <c r="C55" i="9" s="1"/>
  <c r="D55" i="9"/>
  <c r="B56" i="9"/>
  <c r="C56" i="9" s="1"/>
  <c r="D56" i="9"/>
  <c r="B57" i="9"/>
  <c r="C57" i="9" s="1"/>
  <c r="D57" i="9"/>
  <c r="D3" i="9"/>
  <c r="B3" i="9"/>
  <c r="C3" i="9" s="1"/>
  <c r="BI8" i="1"/>
  <c r="BQ8" i="1" s="1"/>
  <c r="BJ8" i="1"/>
  <c r="BK8" i="1"/>
  <c r="BL8" i="1"/>
  <c r="BM8" i="1"/>
  <c r="BN8" i="1"/>
  <c r="BK9" i="1"/>
  <c r="BL9" i="1"/>
  <c r="BK10" i="1"/>
  <c r="BL10" i="1"/>
  <c r="BI11" i="1"/>
  <c r="BQ11" i="1" s="1"/>
  <c r="BJ11" i="1"/>
  <c r="N5" i="9" s="1"/>
  <c r="BK11" i="1"/>
  <c r="BL11" i="1"/>
  <c r="BM11" i="1"/>
  <c r="BN11" i="1"/>
  <c r="BI12" i="1"/>
  <c r="BQ12" i="1" s="1"/>
  <c r="BJ12" i="1"/>
  <c r="BK12" i="1"/>
  <c r="BL12" i="1"/>
  <c r="BM12" i="1"/>
  <c r="BN12" i="1"/>
  <c r="BK13" i="1"/>
  <c r="BL13" i="1"/>
  <c r="BK14" i="1"/>
  <c r="BL14" i="1"/>
  <c r="BN14" i="1"/>
  <c r="BI15" i="1"/>
  <c r="M9" i="9" s="1"/>
  <c r="BJ15" i="1"/>
  <c r="BK15" i="1"/>
  <c r="BL15" i="1"/>
  <c r="BM15" i="1"/>
  <c r="BN15" i="1"/>
  <c r="BK16" i="1"/>
  <c r="BL16" i="1"/>
  <c r="BK17" i="1"/>
  <c r="BL17" i="1"/>
  <c r="BI18" i="1"/>
  <c r="M12" i="9" s="1"/>
  <c r="BJ18" i="1"/>
  <c r="N12" i="9" s="1"/>
  <c r="BK18" i="1"/>
  <c r="BL18" i="1"/>
  <c r="BM18" i="1"/>
  <c r="BN18" i="1"/>
  <c r="BK19" i="1"/>
  <c r="BL19" i="1"/>
  <c r="BN19" i="1"/>
  <c r="BI20" i="1"/>
  <c r="BQ20" i="1" s="1"/>
  <c r="BJ20" i="1"/>
  <c r="BK20" i="1"/>
  <c r="BL20" i="1"/>
  <c r="BM20" i="1"/>
  <c r="BN20" i="1"/>
  <c r="BK21" i="1"/>
  <c r="BL21" i="1"/>
  <c r="BM21" i="1"/>
  <c r="BI22" i="1"/>
  <c r="M16" i="9" s="1"/>
  <c r="BJ22" i="1"/>
  <c r="N16" i="9" s="1"/>
  <c r="BK22" i="1"/>
  <c r="BL22" i="1"/>
  <c r="BM22" i="1"/>
  <c r="BN22" i="1"/>
  <c r="BI23" i="1"/>
  <c r="M17" i="9" s="1"/>
  <c r="BJ23" i="1"/>
  <c r="BK23" i="1"/>
  <c r="BL23" i="1"/>
  <c r="BM23" i="1"/>
  <c r="BN23" i="1"/>
  <c r="BK24" i="1"/>
  <c r="BL24" i="1"/>
  <c r="BK25" i="1"/>
  <c r="BL25" i="1"/>
  <c r="BK26" i="1"/>
  <c r="BL26" i="1"/>
  <c r="BN26" i="1"/>
  <c r="BI27" i="1"/>
  <c r="BQ27" i="1" s="1"/>
  <c r="BJ27" i="1"/>
  <c r="N21" i="9" s="1"/>
  <c r="BK27" i="1"/>
  <c r="BL27" i="1"/>
  <c r="BM27" i="1"/>
  <c r="BN27" i="1"/>
  <c r="BK28" i="1"/>
  <c r="BL28" i="1"/>
  <c r="BM28" i="1"/>
  <c r="BI29" i="1"/>
  <c r="BQ29" i="1" s="1"/>
  <c r="BK29" i="1"/>
  <c r="BL29" i="1"/>
  <c r="BN29" i="1"/>
  <c r="BK30" i="1"/>
  <c r="BL30" i="1"/>
  <c r="BM30" i="1"/>
  <c r="BI31" i="1"/>
  <c r="BJ31" i="1"/>
  <c r="N25" i="9" s="1"/>
  <c r="BK31" i="1"/>
  <c r="BL31" i="1"/>
  <c r="BM31" i="1"/>
  <c r="BN31" i="1"/>
  <c r="BI32" i="1"/>
  <c r="BQ32" i="1" s="1"/>
  <c r="BJ32" i="1"/>
  <c r="N26" i="9" s="1"/>
  <c r="BK32" i="1"/>
  <c r="BL32" i="1"/>
  <c r="BM32" i="1"/>
  <c r="BN32" i="1"/>
  <c r="BI33" i="1"/>
  <c r="M27" i="9" s="1"/>
  <c r="BJ33" i="1"/>
  <c r="BK33" i="1"/>
  <c r="BL33" i="1"/>
  <c r="BM33" i="1"/>
  <c r="BN33" i="1"/>
  <c r="BK34" i="1"/>
  <c r="BL34" i="1"/>
  <c r="BN34" i="1"/>
  <c r="BK35" i="1"/>
  <c r="BL35" i="1"/>
  <c r="BN35" i="1"/>
  <c r="BI36" i="1"/>
  <c r="BJ36" i="1"/>
  <c r="BK36" i="1"/>
  <c r="BL36" i="1"/>
  <c r="BM36" i="1"/>
  <c r="BN36" i="1"/>
  <c r="BK37" i="1"/>
  <c r="BL37" i="1"/>
  <c r="BK38" i="1"/>
  <c r="BL38" i="1"/>
  <c r="BN38" i="1"/>
  <c r="BI39" i="1"/>
  <c r="BQ39" i="1" s="1"/>
  <c r="BJ39" i="1"/>
  <c r="N33" i="9" s="1"/>
  <c r="BK39" i="1"/>
  <c r="BL39" i="1"/>
  <c r="BM39" i="1"/>
  <c r="BN39" i="1"/>
  <c r="BI40" i="1"/>
  <c r="BQ40" i="1" s="1"/>
  <c r="BJ40" i="1"/>
  <c r="N34" i="9" s="1"/>
  <c r="BK40" i="1"/>
  <c r="BL40" i="1"/>
  <c r="BM40" i="1"/>
  <c r="BN40" i="1"/>
  <c r="BI41" i="1"/>
  <c r="BQ41" i="1" s="1"/>
  <c r="BJ41" i="1"/>
  <c r="N35" i="9" s="1"/>
  <c r="BK41" i="1"/>
  <c r="BL41" i="1"/>
  <c r="BM41" i="1"/>
  <c r="BN41" i="1"/>
  <c r="BI42" i="1"/>
  <c r="M36" i="9" s="1"/>
  <c r="BJ42" i="1"/>
  <c r="N36" i="9" s="1"/>
  <c r="BK42" i="1"/>
  <c r="BL42" i="1"/>
  <c r="BM42" i="1"/>
  <c r="BN42" i="1"/>
  <c r="BK43" i="1"/>
  <c r="BL43" i="1"/>
  <c r="BI44" i="1"/>
  <c r="BQ44" i="1" s="1"/>
  <c r="BJ44" i="1"/>
  <c r="N38" i="9" s="1"/>
  <c r="BK44" i="1"/>
  <c r="BL44" i="1"/>
  <c r="BM44" i="1"/>
  <c r="BN44" i="1"/>
  <c r="BK45" i="1"/>
  <c r="BL45" i="1"/>
  <c r="BI46" i="1"/>
  <c r="M40" i="9" s="1"/>
  <c r="BJ46" i="1"/>
  <c r="N40" i="9" s="1"/>
  <c r="BK46" i="1"/>
  <c r="BL46" i="1"/>
  <c r="BM46" i="1"/>
  <c r="BN46" i="1"/>
  <c r="BI47" i="1"/>
  <c r="M41" i="9" s="1"/>
  <c r="BJ47" i="1"/>
  <c r="BK47" i="1"/>
  <c r="BL47" i="1"/>
  <c r="BM47" i="1"/>
  <c r="BN47" i="1"/>
  <c r="BK48" i="1"/>
  <c r="BL48" i="1"/>
  <c r="BI49" i="1"/>
  <c r="M43" i="9" s="1"/>
  <c r="BJ49" i="1"/>
  <c r="N43" i="9" s="1"/>
  <c r="BK49" i="1"/>
  <c r="BL49" i="1"/>
  <c r="BM49" i="1"/>
  <c r="BN49" i="1"/>
  <c r="BK50" i="1"/>
  <c r="BL50" i="1"/>
  <c r="BN50" i="1"/>
  <c r="BI51" i="1"/>
  <c r="M45" i="9" s="1"/>
  <c r="BJ51" i="1"/>
  <c r="BK51" i="1"/>
  <c r="BL51" i="1"/>
  <c r="BM51" i="1"/>
  <c r="BN51" i="1"/>
  <c r="BI52" i="1"/>
  <c r="BJ52" i="1"/>
  <c r="N46" i="9" s="1"/>
  <c r="BK52" i="1"/>
  <c r="BL52" i="1"/>
  <c r="BM52" i="1"/>
  <c r="BN52" i="1"/>
  <c r="BI53" i="1"/>
  <c r="BQ53" i="1" s="1"/>
  <c r="BJ53" i="1"/>
  <c r="N47" i="9" s="1"/>
  <c r="BK53" i="1"/>
  <c r="BL53" i="1"/>
  <c r="BM53" i="1"/>
  <c r="BN53" i="1"/>
  <c r="BI54" i="1"/>
  <c r="BQ54" i="1" s="1"/>
  <c r="BJ54" i="1"/>
  <c r="N48" i="9" s="1"/>
  <c r="BK54" i="1"/>
  <c r="BL54" i="1"/>
  <c r="BM54" i="1"/>
  <c r="BN54" i="1"/>
  <c r="BI55" i="1"/>
  <c r="BJ55" i="1"/>
  <c r="N49" i="9" s="1"/>
  <c r="BK55" i="1"/>
  <c r="BL55" i="1"/>
  <c r="BM55" i="1"/>
  <c r="BN55" i="1"/>
  <c r="BK56" i="1"/>
  <c r="BL56" i="1"/>
  <c r="BI57" i="1"/>
  <c r="M51" i="9" s="1"/>
  <c r="BJ57" i="1"/>
  <c r="N51" i="9" s="1"/>
  <c r="BK57" i="1"/>
  <c r="BL57" i="1"/>
  <c r="BM57" i="1"/>
  <c r="BN57" i="1"/>
  <c r="BI58" i="1"/>
  <c r="BQ58" i="1" s="1"/>
  <c r="BJ58" i="1"/>
  <c r="N52" i="9" s="1"/>
  <c r="BK58" i="1"/>
  <c r="BL58" i="1"/>
  <c r="BM58" i="1"/>
  <c r="BN58" i="1"/>
  <c r="BK59" i="1"/>
  <c r="BL59" i="1"/>
  <c r="BN59" i="1"/>
  <c r="BI60" i="1"/>
  <c r="BJ60" i="1"/>
  <c r="N54" i="9" s="1"/>
  <c r="BK60" i="1"/>
  <c r="BL60" i="1"/>
  <c r="BM60" i="1"/>
  <c r="BN60" i="1"/>
  <c r="BK61" i="1"/>
  <c r="BL61" i="1"/>
  <c r="BN61" i="1"/>
  <c r="BK62" i="1"/>
  <c r="BL62" i="1"/>
  <c r="BK63" i="1"/>
  <c r="BL63" i="1"/>
  <c r="BI64" i="1"/>
  <c r="M58" i="9" s="1"/>
  <c r="BJ64" i="1"/>
  <c r="N58" i="9" s="1"/>
  <c r="BK64" i="1"/>
  <c r="BL64" i="1"/>
  <c r="BM64" i="1"/>
  <c r="BN64" i="1"/>
  <c r="BK65" i="1"/>
  <c r="BL65" i="1"/>
  <c r="BN65" i="1"/>
  <c r="BI66" i="1"/>
  <c r="M60" i="9" s="1"/>
  <c r="BJ66" i="1"/>
  <c r="N60" i="9" s="1"/>
  <c r="BK66" i="1"/>
  <c r="BL66" i="1"/>
  <c r="BM66" i="1"/>
  <c r="BN66" i="1"/>
  <c r="BI67" i="1"/>
  <c r="BJ67" i="1"/>
  <c r="BK67" i="1"/>
  <c r="BL67" i="1"/>
  <c r="BM67" i="1"/>
  <c r="BN67" i="1"/>
  <c r="BN28" i="1"/>
  <c r="BQ23" i="1" l="1"/>
  <c r="BP49" i="1"/>
  <c r="P43" i="9" s="1"/>
  <c r="BQ36" i="1"/>
  <c r="BQ66" i="1"/>
  <c r="BQ15" i="1"/>
  <c r="BQ60" i="1"/>
  <c r="BO55" i="1"/>
  <c r="O49" i="9" s="1"/>
  <c r="BO11" i="1"/>
  <c r="O5" i="9" s="1"/>
  <c r="M5" i="9"/>
  <c r="BO67" i="1"/>
  <c r="BP67" i="1"/>
  <c r="M33" i="9"/>
  <c r="BO15" i="1"/>
  <c r="O9" i="9" s="1"/>
  <c r="BO51" i="1"/>
  <c r="O45" i="9" s="1"/>
  <c r="BQ18" i="1"/>
  <c r="BO18" i="1"/>
  <c r="O12" i="9" s="1"/>
  <c r="M48" i="9"/>
  <c r="M38" i="9"/>
  <c r="BO36" i="1"/>
  <c r="O30" i="9" s="1"/>
  <c r="BO12" i="1"/>
  <c r="O6" i="9" s="1"/>
  <c r="BO20" i="1"/>
  <c r="O14" i="9" s="1"/>
  <c r="BQ51" i="1"/>
  <c r="BO31" i="1"/>
  <c r="O25" i="9" s="1"/>
  <c r="BQ47" i="1"/>
  <c r="BO32" i="1"/>
  <c r="O26" i="9" s="1"/>
  <c r="BO8" i="1"/>
  <c r="BO22" i="1"/>
  <c r="O16" i="9" s="1"/>
  <c r="M54" i="9"/>
  <c r="BP11" i="1"/>
  <c r="P5" i="9" s="1"/>
  <c r="BQ42" i="1"/>
  <c r="M26" i="9"/>
  <c r="BO42" i="1"/>
  <c r="O36" i="9" s="1"/>
  <c r="BP12" i="1"/>
  <c r="P6" i="9" s="1"/>
  <c r="BQ46" i="1"/>
  <c r="BQ67" i="1"/>
  <c r="N9" i="9"/>
  <c r="BP46" i="1"/>
  <c r="P40" i="9" s="1"/>
  <c r="BP58" i="1"/>
  <c r="P52" i="9" s="1"/>
  <c r="BP44" i="1"/>
  <c r="P38" i="9" s="1"/>
  <c r="BO39" i="1"/>
  <c r="O33" i="9" s="1"/>
  <c r="BO27" i="1"/>
  <c r="O21" i="9" s="1"/>
  <c r="BP8" i="1"/>
  <c r="M21" i="9"/>
  <c r="N6" i="9"/>
  <c r="BO66" i="1"/>
  <c r="O60" i="9" s="1"/>
  <c r="BO54" i="1"/>
  <c r="O48" i="9" s="1"/>
  <c r="BP32" i="1"/>
  <c r="P26" i="9" s="1"/>
  <c r="N45" i="9"/>
  <c r="M6" i="9"/>
  <c r="BO33" i="1"/>
  <c r="O27" i="9" s="1"/>
  <c r="BO44" i="1"/>
  <c r="O38" i="9" s="1"/>
  <c r="BP66" i="1"/>
  <c r="P60" i="9" s="1"/>
  <c r="BO46" i="1"/>
  <c r="O40" i="9" s="1"/>
  <c r="BP22" i="1"/>
  <c r="P16" i="9" s="1"/>
  <c r="N27" i="9"/>
  <c r="N14" i="9"/>
  <c r="BJ28" i="1"/>
  <c r="N22" i="9" s="1"/>
  <c r="M14" i="9"/>
  <c r="BO58" i="1"/>
  <c r="O52" i="9" s="1"/>
  <c r="BP53" i="1"/>
  <c r="P47" i="9" s="1"/>
  <c r="BP20" i="1"/>
  <c r="P14" i="9" s="1"/>
  <c r="BO60" i="1"/>
  <c r="O54" i="9" s="1"/>
  <c r="BO53" i="1"/>
  <c r="O47" i="9" s="1"/>
  <c r="BP47" i="1"/>
  <c r="P41" i="9" s="1"/>
  <c r="BQ49" i="1"/>
  <c r="BQ22" i="1"/>
  <c r="BI28" i="1"/>
  <c r="M46" i="9"/>
  <c r="BP52" i="1"/>
  <c r="P46" i="9" s="1"/>
  <c r="N17" i="9"/>
  <c r="BO23" i="1"/>
  <c r="O17" i="9" s="1"/>
  <c r="BQ52" i="1"/>
  <c r="BP57" i="1"/>
  <c r="P51" i="9" s="1"/>
  <c r="BQ57" i="1"/>
  <c r="M49" i="9"/>
  <c r="BP55" i="1"/>
  <c r="P49" i="9" s="1"/>
  <c r="BQ55" i="1"/>
  <c r="BP33" i="1"/>
  <c r="P27" i="9" s="1"/>
  <c r="BQ33" i="1"/>
  <c r="BP23" i="1"/>
  <c r="P17" i="9" s="1"/>
  <c r="BP60" i="1"/>
  <c r="P54" i="9" s="1"/>
  <c r="BP41" i="1"/>
  <c r="P35" i="9" s="1"/>
  <c r="M25" i="9"/>
  <c r="BP31" i="1"/>
  <c r="P25" i="9" s="1"/>
  <c r="BQ31" i="1"/>
  <c r="BO47" i="1"/>
  <c r="O41" i="9" s="1"/>
  <c r="N41" i="9"/>
  <c r="BO41" i="1"/>
  <c r="O35" i="9" s="1"/>
  <c r="M34" i="9"/>
  <c r="BP40" i="1"/>
  <c r="P34" i="9" s="1"/>
  <c r="N30" i="9"/>
  <c r="BP36" i="1"/>
  <c r="P30" i="9" s="1"/>
  <c r="M30" i="9"/>
  <c r="BP51" i="1"/>
  <c r="P45" i="9" s="1"/>
  <c r="BO49" i="1"/>
  <c r="O43" i="9" s="1"/>
  <c r="BP39" i="1"/>
  <c r="P33" i="9" s="1"/>
  <c r="BP27" i="1"/>
  <c r="P21" i="9" s="1"/>
  <c r="BP15" i="1"/>
  <c r="P9" i="9" s="1"/>
  <c r="M47" i="9"/>
  <c r="M35" i="9"/>
  <c r="M23" i="9"/>
  <c r="BO64" i="1"/>
  <c r="O58" i="9" s="1"/>
  <c r="BP54" i="1"/>
  <c r="P48" i="9" s="1"/>
  <c r="BO52" i="1"/>
  <c r="O46" i="9" s="1"/>
  <c r="BP42" i="1"/>
  <c r="P36" i="9" s="1"/>
  <c r="BO40" i="1"/>
  <c r="O34" i="9" s="1"/>
  <c r="BP18" i="1"/>
  <c r="P12" i="9" s="1"/>
  <c r="M52" i="9"/>
  <c r="BP64" i="1"/>
  <c r="P58" i="9" s="1"/>
  <c r="BQ64" i="1"/>
  <c r="BO57" i="1"/>
  <c r="O51" i="9" s="1"/>
  <c r="BO28" i="1" l="1"/>
  <c r="O22" i="9" s="1"/>
  <c r="BQ28" i="1"/>
  <c r="BP28" i="1"/>
  <c r="P22" i="9" s="1"/>
  <c r="M22" i="9"/>
  <c r="BN9" i="1"/>
  <c r="BN37" i="1"/>
  <c r="BN17" i="1"/>
  <c r="BN13" i="1"/>
  <c r="BI56" i="1"/>
  <c r="BI43" i="1"/>
  <c r="BN63" i="1"/>
  <c r="BN45" i="1"/>
  <c r="BN43" i="1"/>
  <c r="BN24" i="1"/>
  <c r="BN16" i="1"/>
  <c r="BN10" i="1"/>
  <c r="AB72" i="1"/>
  <c r="BI50" i="1" l="1"/>
  <c r="BI21" i="1"/>
  <c r="BN48" i="1"/>
  <c r="BI38" i="1"/>
  <c r="M50" i="9"/>
  <c r="BI9" i="1"/>
  <c r="BN56" i="1"/>
  <c r="BI35" i="1"/>
  <c r="BN30" i="1"/>
  <c r="BJ30" i="1"/>
  <c r="BI37" i="1"/>
  <c r="M37" i="9"/>
  <c r="BI19" i="1"/>
  <c r="BN62" i="1"/>
  <c r="BJ37" i="1"/>
  <c r="BM37" i="1"/>
  <c r="AJ68" i="1"/>
  <c r="AJ70" i="1" s="1"/>
  <c r="BI30" i="1"/>
  <c r="BM9" i="1"/>
  <c r="BJ9" i="1"/>
  <c r="BJ43" i="1"/>
  <c r="BP43" i="1" s="1"/>
  <c r="P37" i="9" s="1"/>
  <c r="BM43" i="1"/>
  <c r="BI61" i="1"/>
  <c r="BI26" i="1"/>
  <c r="BN25" i="1"/>
  <c r="BJ29" i="1"/>
  <c r="BM29" i="1"/>
  <c r="BI59" i="1"/>
  <c r="BI10" i="1"/>
  <c r="BJ56" i="1"/>
  <c r="BM56" i="1"/>
  <c r="T68" i="1"/>
  <c r="T70" i="1" s="1"/>
  <c r="AF68" i="1"/>
  <c r="AF70" i="1" s="1"/>
  <c r="X68" i="1"/>
  <c r="X70" i="1" s="1"/>
  <c r="AB68" i="1"/>
  <c r="AB70" i="1" s="1"/>
  <c r="P68" i="1"/>
  <c r="P70" i="1" s="1"/>
  <c r="BI14" i="1"/>
  <c r="BI45" i="1"/>
  <c r="BI48" i="1"/>
  <c r="BI34" i="1"/>
  <c r="BM10" i="1"/>
  <c r="BI24" i="1"/>
  <c r="BI63" i="1"/>
  <c r="BI16" i="1"/>
  <c r="BQ43" i="1" l="1"/>
  <c r="M18" i="9"/>
  <c r="M42" i="9"/>
  <c r="M31" i="9"/>
  <c r="BP37" i="1"/>
  <c r="P31" i="9" s="1"/>
  <c r="BQ37" i="1"/>
  <c r="BO30" i="1"/>
  <c r="O24" i="9" s="1"/>
  <c r="N24" i="9"/>
  <c r="M32" i="9"/>
  <c r="BO56" i="1"/>
  <c r="O50" i="9" s="1"/>
  <c r="N50" i="9"/>
  <c r="BM38" i="1"/>
  <c r="BJ38" i="1"/>
  <c r="BQ38" i="1" s="1"/>
  <c r="M3" i="9"/>
  <c r="BP9" i="1"/>
  <c r="P3" i="9" s="1"/>
  <c r="BQ9" i="1"/>
  <c r="BQ56" i="1"/>
  <c r="BJ59" i="1"/>
  <c r="BM59" i="1"/>
  <c r="M24" i="9"/>
  <c r="BP30" i="1"/>
  <c r="P24" i="9" s="1"/>
  <c r="BQ30" i="1"/>
  <c r="N23" i="9"/>
  <c r="BO29" i="1"/>
  <c r="O23" i="9" s="1"/>
  <c r="BP29" i="1"/>
  <c r="P23" i="9" s="1"/>
  <c r="BP56" i="1"/>
  <c r="P50" i="9" s="1"/>
  <c r="M10" i="9"/>
  <c r="BI62" i="1"/>
  <c r="N31" i="9"/>
  <c r="BO37" i="1"/>
  <c r="O31" i="9" s="1"/>
  <c r="BJ21" i="1"/>
  <c r="BP21" i="1" s="1"/>
  <c r="P15" i="9" s="1"/>
  <c r="BN21" i="1"/>
  <c r="BO9" i="1"/>
  <c r="O3" i="9" s="1"/>
  <c r="N3" i="9"/>
  <c r="BM48" i="1"/>
  <c r="BJ48" i="1"/>
  <c r="BM24" i="1"/>
  <c r="BJ24" i="1"/>
  <c r="BJ45" i="1"/>
  <c r="BM45" i="1"/>
  <c r="M15" i="9"/>
  <c r="M20" i="9"/>
  <c r="M44" i="9"/>
  <c r="BQ50" i="1"/>
  <c r="M4" i="9"/>
  <c r="M53" i="9"/>
  <c r="BJ35" i="1"/>
  <c r="BP35" i="1" s="1"/>
  <c r="P29" i="9" s="1"/>
  <c r="BM35" i="1"/>
  <c r="BJ62" i="1"/>
  <c r="BM62" i="1"/>
  <c r="M8" i="9"/>
  <c r="BM26" i="1"/>
  <c r="BJ26" i="1"/>
  <c r="M13" i="9"/>
  <c r="BJ10" i="1"/>
  <c r="BQ10" i="1" s="1"/>
  <c r="BJ50" i="1"/>
  <c r="BP50" i="1" s="1"/>
  <c r="P44" i="9" s="1"/>
  <c r="BM50" i="1"/>
  <c r="BJ61" i="1"/>
  <c r="BQ61" i="1" s="1"/>
  <c r="BM61" i="1"/>
  <c r="N37" i="9"/>
  <c r="BO43" i="1"/>
  <c r="O37" i="9" s="1"/>
  <c r="M57" i="9"/>
  <c r="M39" i="9"/>
  <c r="M29" i="9"/>
  <c r="BJ16" i="1"/>
  <c r="BQ16" i="1" s="1"/>
  <c r="BM16" i="1"/>
  <c r="BJ63" i="1"/>
  <c r="BP63" i="1" s="1"/>
  <c r="P57" i="9" s="1"/>
  <c r="BM63" i="1"/>
  <c r="BM34" i="1"/>
  <c r="BJ34" i="1"/>
  <c r="M28" i="9"/>
  <c r="BM14" i="1"/>
  <c r="BJ14" i="1"/>
  <c r="BQ14" i="1" s="1"/>
  <c r="M55" i="9"/>
  <c r="BJ19" i="1"/>
  <c r="BP19" i="1" s="1"/>
  <c r="P13" i="9" s="1"/>
  <c r="BM19" i="1"/>
  <c r="BI13" i="1"/>
  <c r="BI25" i="1"/>
  <c r="BI65" i="1"/>
  <c r="BI17" i="1"/>
  <c r="BP61" i="1" l="1"/>
  <c r="P55" i="9" s="1"/>
  <c r="BP14" i="1"/>
  <c r="P8" i="9" s="1"/>
  <c r="BQ35" i="1"/>
  <c r="BP16" i="1"/>
  <c r="P10" i="9" s="1"/>
  <c r="BP10" i="1"/>
  <c r="P4" i="9" s="1"/>
  <c r="BQ63" i="1"/>
  <c r="BQ62" i="1"/>
  <c r="BP62" i="1"/>
  <c r="P56" i="9" s="1"/>
  <c r="M56" i="9"/>
  <c r="BO24" i="1"/>
  <c r="O18" i="9" s="1"/>
  <c r="N18" i="9"/>
  <c r="BO59" i="1"/>
  <c r="O53" i="9" s="1"/>
  <c r="N53" i="9"/>
  <c r="N28" i="9"/>
  <c r="BO34" i="1"/>
  <c r="O28" i="9" s="1"/>
  <c r="N20" i="9"/>
  <c r="BO26" i="1"/>
  <c r="O20" i="9" s="1"/>
  <c r="BO48" i="1"/>
  <c r="O42" i="9" s="1"/>
  <c r="N42" i="9"/>
  <c r="M11" i="9"/>
  <c r="N55" i="9"/>
  <c r="BO61" i="1"/>
  <c r="O55" i="9" s="1"/>
  <c r="N13" i="9"/>
  <c r="BO19" i="1"/>
  <c r="O13" i="9" s="1"/>
  <c r="BP48" i="1"/>
  <c r="P42" i="9" s="1"/>
  <c r="M7" i="9"/>
  <c r="BJ13" i="1"/>
  <c r="BM13" i="1"/>
  <c r="BO62" i="1"/>
  <c r="O56" i="9" s="1"/>
  <c r="N56" i="9"/>
  <c r="BJ65" i="1"/>
  <c r="BP65" i="1" s="1"/>
  <c r="P59" i="9" s="1"/>
  <c r="BM65" i="1"/>
  <c r="BP34" i="1"/>
  <c r="P28" i="9" s="1"/>
  <c r="BQ26" i="1"/>
  <c r="BO45" i="1"/>
  <c r="O39" i="9" s="1"/>
  <c r="N39" i="9"/>
  <c r="BQ48" i="1"/>
  <c r="BO50" i="1"/>
  <c r="O44" i="9" s="1"/>
  <c r="N44" i="9"/>
  <c r="N4" i="9"/>
  <c r="BO10" i="1"/>
  <c r="O4" i="9" s="1"/>
  <c r="BO35" i="1"/>
  <c r="O29" i="9" s="1"/>
  <c r="N29" i="9"/>
  <c r="BP45" i="1"/>
  <c r="P39" i="9" s="1"/>
  <c r="BO63" i="1"/>
  <c r="O57" i="9" s="1"/>
  <c r="N57" i="9"/>
  <c r="N10" i="9"/>
  <c r="BO16" i="1"/>
  <c r="O10" i="9" s="1"/>
  <c r="BO38" i="1"/>
  <c r="O32" i="9" s="1"/>
  <c r="N32" i="9"/>
  <c r="BJ17" i="1"/>
  <c r="BQ17" i="1" s="1"/>
  <c r="BM17" i="1"/>
  <c r="BO14" i="1"/>
  <c r="O8" i="9" s="1"/>
  <c r="N8" i="9"/>
  <c r="BP26" i="1"/>
  <c r="P20" i="9" s="1"/>
  <c r="M59" i="9"/>
  <c r="BQ45" i="1"/>
  <c r="BP24" i="1"/>
  <c r="P18" i="9" s="1"/>
  <c r="M19" i="9"/>
  <c r="BQ34" i="1"/>
  <c r="BP59" i="1"/>
  <c r="P53" i="9" s="1"/>
  <c r="BO21" i="1"/>
  <c r="O15" i="9" s="1"/>
  <c r="N15" i="9"/>
  <c r="BQ24" i="1"/>
  <c r="BJ25" i="1"/>
  <c r="BP25" i="1" s="1"/>
  <c r="P19" i="9" s="1"/>
  <c r="BM25" i="1"/>
  <c r="BQ19" i="1"/>
  <c r="BQ59" i="1"/>
  <c r="BQ21" i="1"/>
  <c r="BP38" i="1"/>
  <c r="P32" i="9" s="1"/>
  <c r="AR68" i="1"/>
  <c r="M61" i="9" l="1"/>
  <c r="BO65" i="1"/>
  <c r="O59" i="9" s="1"/>
  <c r="N59" i="9"/>
  <c r="BQ25" i="1"/>
  <c r="BP17" i="1"/>
  <c r="P11" i="9" s="1"/>
  <c r="N7" i="9"/>
  <c r="BO13" i="1"/>
  <c r="O7" i="9" s="1"/>
  <c r="N19" i="9"/>
  <c r="BO25" i="1"/>
  <c r="O19" i="9" s="1"/>
  <c r="BP13" i="1"/>
  <c r="P7" i="9" s="1"/>
  <c r="N11" i="9"/>
  <c r="BO17" i="1"/>
  <c r="O11" i="9" s="1"/>
  <c r="BQ13" i="1"/>
  <c r="BQ65" i="1"/>
  <c r="BN7" i="1"/>
  <c r="BJ7" i="1"/>
  <c r="BI7" i="1"/>
  <c r="BI68" i="1" s="1"/>
  <c r="P61" i="9" l="1"/>
  <c r="O61" i="9"/>
  <c r="N61" i="9"/>
  <c r="AZ68" i="1"/>
  <c r="AV68" i="1"/>
  <c r="AV70" i="1" s="1"/>
  <c r="AR70" i="1"/>
  <c r="L68" i="1" l="1"/>
  <c r="L70" i="1" s="1"/>
  <c r="D70" i="1" l="1"/>
  <c r="AN68" i="1" l="1"/>
  <c r="AN70" i="1" s="1"/>
  <c r="BD68" i="1"/>
  <c r="BD70" i="1" s="1"/>
  <c r="H68" i="1" l="1"/>
  <c r="AZ70" i="1"/>
  <c r="H70" i="1" l="1"/>
  <c r="L5" i="1" l="1"/>
  <c r="BJ68" i="1"/>
  <c r="BK7" i="1"/>
  <c r="BK68" i="1" s="1"/>
  <c r="BL7" i="1"/>
  <c r="BL68" i="1" s="1"/>
  <c r="BM7" i="1"/>
  <c r="BM68" i="1" s="1"/>
  <c r="BN68" i="1"/>
  <c r="P5" i="1" l="1"/>
  <c r="T5" i="1" s="1"/>
  <c r="X5" i="1" s="1"/>
  <c r="AB5" i="1" s="1"/>
  <c r="BQ7" i="1"/>
  <c r="BQ68" i="1"/>
  <c r="BO7" i="1"/>
  <c r="BO68" i="1" s="1"/>
  <c r="O62" i="9" s="1"/>
  <c r="BP7" i="1"/>
  <c r="BP68" i="1" s="1"/>
  <c r="P62" i="9" s="1"/>
  <c r="AF5" i="1" l="1"/>
  <c r="AJ5" i="1" s="1"/>
  <c r="AN5" i="1" s="1"/>
  <c r="AR5" i="1" s="1"/>
  <c r="AV5" i="1" s="1"/>
  <c r="AZ5" i="1" s="1"/>
  <c r="BD5" i="1" s="1"/>
  <c r="BL4" i="1" s="1"/>
  <c r="N62" i="9" l="1"/>
  <c r="N63" i="9" l="1"/>
  <c r="O63" i="9" l="1"/>
  <c r="M62" i="9" l="1"/>
  <c r="M63" i="9" s="1"/>
  <c r="P6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Suzan Mahdi</author>
    <author>Auditeur De Nuit</author>
    <author>Windows User</author>
  </authors>
  <commentList>
    <comment ref="D68" authorId="0" shapeId="0" xr:uid="{CB38873E-2901-4792-A4C6-2ACF124A9EF4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H68" authorId="0" shapeId="0" xr:uid="{60DB4F71-F529-4F7D-A90C-507E094A36C6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L68" authorId="0" shapeId="0" xr:uid="{18C9F367-7E6D-408E-A305-EF3B8111BC70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P68" authorId="0" shapeId="0" xr:uid="{5623A405-A99A-4745-AF0E-DC7D8233614D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T68" authorId="0" shapeId="0" xr:uid="{1E020351-60BD-4ABC-9F8D-2679E5A95FB1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X68" authorId="0" shapeId="0" xr:uid="{553E6EFF-B476-4295-A79B-B27ED0DFE28F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B68" authorId="0" shapeId="0" xr:uid="{BB7B2A4B-3580-48C8-85D0-526E1427C5B7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F68" authorId="0" shapeId="0" xr:uid="{C223D9AC-7060-4DCA-A891-C5809B07D9F7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J68" authorId="0" shapeId="0" xr:uid="{3A3B1CD0-C852-4C33-9AEC-B61E6DB68BE1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N68" authorId="0" shapeId="0" xr:uid="{886C1611-8D67-4AE0-8089-796A4CD3C05A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R68" authorId="0" shapeId="0" xr:uid="{74D489B5-A04C-46FD-BE07-3D421C018E4F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V68" authorId="0" shapeId="0" xr:uid="{E4086A46-E57D-4E04-BA36-FD3EF16CC045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Z68" authorId="0" shapeId="0" xr:uid="{3A33125C-FA30-494B-BFED-1E110CA00879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BD68" authorId="0" shapeId="0" xr:uid="{60371797-B437-4EC0-A3FB-54B426906A56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H70" authorId="1" shapeId="0" xr:uid="{315CECA8-3959-4D89-A711-AA1C1182B18F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MONTANT MANQUANT UNE FEUILLE REMPLIE MAIS LES VENTES NAPPARAISSENT PAS</t>
        </r>
      </text>
    </comment>
    <comment ref="T70" authorId="2" shapeId="0" xr:uid="{C02E3377-173B-4B92-AC23-9EC4A6A527B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X70" authorId="2" shapeId="0" xr:uid="{65987CCF-9434-46DE-B859-1F189C39654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B70" authorId="2" shapeId="0" xr:uid="{FE70C2E2-DD12-4F9A-9E71-66F2C3464F5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F70" authorId="2" shapeId="0" xr:uid="{0D36FE23-A835-43F2-B846-4D7C6DFECAA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J70" authorId="2" shapeId="0" xr:uid="{8BCAC146-95B5-4945-B481-BC8DBFEADB1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N70" authorId="2" shapeId="0" xr:uid="{671BF047-73A1-4219-9540-22D810081D1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R70" authorId="2" shapeId="0" xr:uid="{FF16D318-7E24-422E-BE65-86C92D1FFD1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V70" authorId="2" shapeId="0" xr:uid="{F2D56148-A5B4-465D-8937-204203F472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Z70" authorId="2" shapeId="0" xr:uid="{3B5CB632-EED6-471C-8D38-305B161F95F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BD70" authorId="2" shapeId="0" xr:uid="{357BCA17-5BB5-4438-9717-ED9AFBF92CB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P71" authorId="1" shapeId="0" xr:uid="{307C3FDC-7674-4D73-BD7E-4B994518F1AD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NEED TO REDO</t>
        </r>
      </text>
    </comment>
  </commentList>
</comments>
</file>

<file path=xl/sharedStrings.xml><?xml version="1.0" encoding="utf-8"?>
<sst xmlns="http://schemas.openxmlformats.org/spreadsheetml/2006/main" count="170" uniqueCount="103">
  <si>
    <t>HÔTEL SHERATON LAVAL</t>
  </si>
  <si>
    <t>REGISTRE DES POURBOIRES</t>
  </si>
  <si>
    <t/>
  </si>
  <si>
    <t>Période</t>
  </si>
  <si>
    <t>Ventes</t>
  </si>
  <si>
    <t>Pourboires bruts</t>
  </si>
  <si>
    <t>Pourboires redistribués</t>
  </si>
  <si>
    <t>Pourboires reçus</t>
  </si>
  <si>
    <t>Net 1ere semaine</t>
  </si>
  <si>
    <t>Net 2ieme semaine</t>
  </si>
  <si>
    <t>Pourboires nets</t>
  </si>
  <si>
    <t>Montant Attribué</t>
  </si>
  <si>
    <t xml:space="preserve"> </t>
  </si>
  <si>
    <t>Insérez avant cette ligne</t>
  </si>
  <si>
    <t>controle</t>
  </si>
  <si>
    <t>Jour</t>
  </si>
  <si>
    <t>mois</t>
  </si>
  <si>
    <t>année</t>
  </si>
  <si>
    <t>#emp</t>
  </si>
  <si>
    <t># clé</t>
  </si>
  <si>
    <t>nom</t>
  </si>
  <si>
    <t>Belanger  Danielle</t>
  </si>
  <si>
    <t>Bergeron Josee</t>
  </si>
  <si>
    <t>Chartier Marie-Eve</t>
  </si>
  <si>
    <t>Dupont Frederick</t>
  </si>
  <si>
    <t>Tourangeau Carl</t>
  </si>
  <si>
    <t>Emond Pierre</t>
  </si>
  <si>
    <t>George Youri</t>
  </si>
  <si>
    <t>Guerin Valerie</t>
  </si>
  <si>
    <t>Hammond Kelly-Ann</t>
  </si>
  <si>
    <t>Jacques Ylan Michel</t>
  </si>
  <si>
    <t>Latulippe Stephane</t>
  </si>
  <si>
    <t>Leclerc Karl</t>
  </si>
  <si>
    <t>Lefebvre Martin</t>
  </si>
  <si>
    <t>Letourneau Sarah</t>
  </si>
  <si>
    <t>Lim Mathy</t>
  </si>
  <si>
    <t>Milovic Dragan</t>
  </si>
  <si>
    <t>Nadeau Isabelle</t>
  </si>
  <si>
    <t>Rodrigue Jean</t>
  </si>
  <si>
    <t>Rousseau Nathalie</t>
  </si>
  <si>
    <t>Somera Sem</t>
  </si>
  <si>
    <t>Szabo Youri</t>
  </si>
  <si>
    <t>Thifault Alexandre</t>
  </si>
  <si>
    <t>Tremblay Sandra</t>
  </si>
  <si>
    <t>Yelle Caroline</t>
  </si>
  <si>
    <t>Compagnie</t>
  </si>
  <si>
    <t>Matricule</t>
  </si>
  <si>
    <t>Nom, prénom</t>
  </si>
  <si>
    <t>No relevé</t>
  </si>
  <si>
    <t>TRAV 1</t>
  </si>
  <si>
    <t>TRAV 2</t>
  </si>
  <si>
    <t>TRAV 3</t>
  </si>
  <si>
    <t>TRAV 4</t>
  </si>
  <si>
    <t>TRAV 5</t>
  </si>
  <si>
    <t>TRAV 6</t>
  </si>
  <si>
    <t>**</t>
  </si>
  <si>
    <t>G730(Montant)</t>
  </si>
  <si>
    <t>G731(Montant)</t>
  </si>
  <si>
    <t>G809(Montant)</t>
  </si>
  <si>
    <t>Bordeleau Lyne</t>
  </si>
  <si>
    <t>Quagliarielle Claudia</t>
  </si>
  <si>
    <t>Nadeau Caroline</t>
  </si>
  <si>
    <t>pourb attribué</t>
  </si>
  <si>
    <t>G(Montant)</t>
  </si>
  <si>
    <t>Bertrand Nicolas</t>
  </si>
  <si>
    <t>Katsenis Spiro</t>
  </si>
  <si>
    <t>Rivet Stephane</t>
  </si>
  <si>
    <t>Bernachez, Stephane</t>
  </si>
  <si>
    <t>Quesnel Sébastien</t>
  </si>
  <si>
    <t>Campos. Plinio Testa</t>
  </si>
  <si>
    <t>Oyan Raffi</t>
  </si>
  <si>
    <t>Sauro Cynthia</t>
  </si>
  <si>
    <t>Pourb</t>
  </si>
  <si>
    <t>Dist</t>
  </si>
  <si>
    <t>Reçus</t>
  </si>
  <si>
    <t>Lebel Genevieve</t>
  </si>
  <si>
    <t>Labreche emilie</t>
  </si>
  <si>
    <t xml:space="preserve">BALZAGE, Julien </t>
  </si>
  <si>
    <t>Validation</t>
  </si>
  <si>
    <t>POURB.DECLARES</t>
  </si>
  <si>
    <t>Difrusia Costantino</t>
  </si>
  <si>
    <t>Gagnon Sabrina</t>
  </si>
  <si>
    <t>Forget Caroline</t>
  </si>
  <si>
    <t>Di Blasio Bianca</t>
  </si>
  <si>
    <t>Roy Florence</t>
  </si>
  <si>
    <t>Rancourt Adelaide</t>
  </si>
  <si>
    <t>Tran Cuong Quac</t>
  </si>
  <si>
    <t>Leclair Isabelle</t>
  </si>
  <si>
    <t>ok</t>
  </si>
  <si>
    <t>Faucher-Lavallee David</t>
  </si>
  <si>
    <t>VENTE TOT.</t>
  </si>
  <si>
    <t>POURB BRUT</t>
  </si>
  <si>
    <t>Vesnaver, Sarah</t>
  </si>
  <si>
    <t>Cecile patricia</t>
  </si>
  <si>
    <t>Giorgi david</t>
  </si>
  <si>
    <t>Samedy Jonathan</t>
  </si>
  <si>
    <t xml:space="preserve">Lussier Emmanuelle </t>
  </si>
  <si>
    <t xml:space="preserve">Dagenais Julie </t>
  </si>
  <si>
    <t>Marquis Melissa</t>
  </si>
  <si>
    <t>Abou Assaly Linda</t>
  </si>
  <si>
    <t xml:space="preserve">Veilleux Sebastien </t>
  </si>
  <si>
    <t>Grenon Chloe</t>
  </si>
  <si>
    <t>Gallego Camila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</si>
</sst>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\ &quot;$&quot;_);\(#,##0\ &quot;$&quot;\)"/>
    <numFmt numFmtId="165" formatCode="d/mmm/yy"/>
    <numFmt numFmtId="166" formatCode="yyyy/mm/dd;"/>
    <numFmt numFmtId="167" formatCode="0.0000"/>
  </numFmts>
  <fonts count="27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sz val="14"/>
      <color indexed="18"/>
      <name val="Arial"/>
      <family val="2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4"/>
      <color indexed="8"/>
      <name val="Arial"/>
      <family val="2"/>
    </font>
    <font>
      <sz val="14"/>
      <color indexed="13"/>
      <name val="Arial"/>
      <family val="2"/>
    </font>
    <font>
      <sz val="14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B050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>
      <alignment vertical="top"/>
    </xf>
    <xf numFmtId="0" fontId="1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2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9" fillId="0" borderId="0"/>
    <xf numFmtId="10" fontId="11" fillId="0" borderId="0" applyFont="0" applyFill="0" applyBorder="0" applyAlignment="0" applyProtection="0"/>
    <xf numFmtId="0" fontId="11" fillId="0" borderId="1" applyNumberFormat="0" applyFont="0" applyFill="0" applyAlignment="0" applyProtection="0"/>
    <xf numFmtId="3" fontId="11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 count="115"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horizontal="centerContinuous"/>
    </xf>
    <xf numFmtId="15" fontId="3" fillId="0" borderId="0" xfId="0" applyNumberFormat="1" applyFont="1" applyAlignme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7" fillId="0" borderId="0" xfId="0" applyFont="1" applyAlignment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Continuous"/>
    </xf>
    <xf numFmtId="0" fontId="11" fillId="0" borderId="0" xfId="0" applyFont="1" applyAlignment="1"/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2" fillId="0" borderId="0" xfId="0" applyFont="1" applyAlignment="1"/>
    <xf numFmtId="49" fontId="14" fillId="0" borderId="5" xfId="6" applyNumberFormat="1" applyFont="1" applyBorder="1"/>
    <xf numFmtId="0" fontId="14" fillId="0" borderId="5" xfId="6" applyFont="1" applyBorder="1"/>
    <xf numFmtId="0" fontId="14" fillId="0" borderId="5" xfId="6" applyFont="1" applyBorder="1" applyAlignment="1">
      <alignment horizontal="center"/>
    </xf>
    <xf numFmtId="166" fontId="14" fillId="0" borderId="5" xfId="6" applyNumberFormat="1" applyFont="1" applyBorder="1" applyAlignment="1">
      <alignment horizontal="center"/>
    </xf>
    <xf numFmtId="49" fontId="14" fillId="0" borderId="5" xfId="6" applyNumberFormat="1" applyFont="1" applyBorder="1" applyAlignment="1">
      <alignment horizontal="center"/>
    </xf>
    <xf numFmtId="49" fontId="14" fillId="0" borderId="9" xfId="6" applyNumberFormat="1" applyFont="1" applyBorder="1" applyAlignment="1">
      <alignment horizontal="center"/>
    </xf>
    <xf numFmtId="0" fontId="0" fillId="0" borderId="0" xfId="0">
      <alignment vertical="top"/>
    </xf>
    <xf numFmtId="2" fontId="10" fillId="4" borderId="5" xfId="6" applyNumberFormat="1" applyFont="1" applyFill="1" applyBorder="1" applyAlignment="1">
      <alignment vertical="center"/>
    </xf>
    <xf numFmtId="0" fontId="0" fillId="5" borderId="0" xfId="0" applyFill="1" applyAlignment="1"/>
    <xf numFmtId="2" fontId="0" fillId="5" borderId="0" xfId="0" applyNumberFormat="1" applyFill="1" applyAlignment="1"/>
    <xf numFmtId="0" fontId="0" fillId="5" borderId="0" xfId="0" applyFill="1">
      <alignment vertical="top"/>
    </xf>
    <xf numFmtId="2" fontId="10" fillId="5" borderId="5" xfId="6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16" fontId="15" fillId="0" borderId="0" xfId="0" applyNumberFormat="1" applyFont="1" applyAlignment="1"/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2" xfId="0" applyFont="1" applyBorder="1" applyAlignment="1"/>
    <xf numFmtId="0" fontId="17" fillId="0" borderId="0" xfId="0" applyFont="1" applyAlignment="1"/>
    <xf numFmtId="0" fontId="16" fillId="0" borderId="0" xfId="0" applyFont="1" applyAlignment="1"/>
    <xf numFmtId="2" fontId="15" fillId="0" borderId="0" xfId="0" applyNumberFormat="1" applyFont="1" applyAlignment="1"/>
    <xf numFmtId="2" fontId="15" fillId="0" borderId="4" xfId="0" applyNumberFormat="1" applyFont="1" applyBorder="1" applyAlignment="1" applyProtection="1">
      <protection locked="0"/>
    </xf>
    <xf numFmtId="2" fontId="17" fillId="0" borderId="0" xfId="0" applyNumberFormat="1" applyFont="1" applyAlignment="1" applyProtection="1">
      <protection locked="0"/>
    </xf>
    <xf numFmtId="2" fontId="16" fillId="0" borderId="0" xfId="0" applyNumberFormat="1" applyFont="1" applyAlignment="1" applyProtection="1">
      <protection locked="0"/>
    </xf>
    <xf numFmtId="2" fontId="15" fillId="0" borderId="6" xfId="0" applyNumberFormat="1" applyFont="1" applyBorder="1" applyAlignment="1" applyProtection="1">
      <protection locked="0"/>
    </xf>
    <xf numFmtId="2" fontId="15" fillId="0" borderId="0" xfId="0" applyNumberFormat="1" applyFont="1" applyAlignment="1" applyProtection="1">
      <protection locked="0"/>
    </xf>
    <xf numFmtId="0" fontId="15" fillId="0" borderId="7" xfId="0" applyFont="1" applyBorder="1" applyAlignment="1" applyProtection="1">
      <alignment horizontal="right"/>
      <protection locked="0"/>
    </xf>
    <xf numFmtId="0" fontId="15" fillId="0" borderId="5" xfId="0" applyFont="1" applyBorder="1" applyAlignment="1" applyProtection="1">
      <protection locked="0"/>
    </xf>
    <xf numFmtId="0" fontId="15" fillId="0" borderId="7" xfId="0" applyFont="1" applyBorder="1" applyAlignment="1" applyProtection="1">
      <protection locked="0"/>
    </xf>
    <xf numFmtId="0" fontId="15" fillId="0" borderId="8" xfId="0" applyFont="1" applyBorder="1" applyAlignment="1" applyProtection="1">
      <protection locked="0"/>
    </xf>
    <xf numFmtId="0" fontId="15" fillId="0" borderId="7" xfId="0" quotePrefix="1" applyFont="1" applyBorder="1" applyAlignment="1" applyProtection="1">
      <alignment horizontal="right"/>
      <protection locked="0"/>
    </xf>
    <xf numFmtId="0" fontId="15" fillId="0" borderId="11" xfId="0" applyFont="1" applyBorder="1" applyAlignment="1" applyProtection="1">
      <protection locked="0"/>
    </xf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/>
    <xf numFmtId="0" fontId="17" fillId="0" borderId="2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16" fillId="0" borderId="2" xfId="0" applyFont="1" applyBorder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7" fillId="0" borderId="0" xfId="0" applyFont="1" applyAlignment="1" applyProtection="1">
      <protection locked="0"/>
    </xf>
    <xf numFmtId="0" fontId="16" fillId="0" borderId="0" xfId="0" applyFont="1" applyAlignment="1" applyProtection="1">
      <protection locked="0"/>
    </xf>
    <xf numFmtId="0" fontId="19" fillId="0" borderId="0" xfId="0" applyFont="1" applyAlignment="1" applyProtection="1">
      <protection locked="0"/>
    </xf>
    <xf numFmtId="0" fontId="15" fillId="0" borderId="0" xfId="0" applyFont="1" applyAlignment="1">
      <alignment horizontal="center"/>
    </xf>
    <xf numFmtId="0" fontId="19" fillId="0" borderId="0" xfId="0" applyFont="1" applyAlignment="1"/>
    <xf numFmtId="0" fontId="0" fillId="6" borderId="0" xfId="0" applyFill="1" applyAlignment="1"/>
    <xf numFmtId="2" fontId="0" fillId="6" borderId="0" xfId="0" applyNumberFormat="1" applyFill="1" applyAlignment="1"/>
    <xf numFmtId="167" fontId="17" fillId="0" borderId="0" xfId="0" applyNumberFormat="1" applyFont="1" applyAlignment="1"/>
    <xf numFmtId="10" fontId="15" fillId="0" borderId="0" xfId="7" applyFont="1" applyProtection="1"/>
    <xf numFmtId="0" fontId="15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protection locked="0"/>
    </xf>
    <xf numFmtId="4" fontId="19" fillId="0" borderId="0" xfId="0" applyNumberFormat="1" applyFont="1" applyAlignment="1" applyProtection="1">
      <protection locked="0"/>
    </xf>
    <xf numFmtId="4" fontId="15" fillId="0" borderId="0" xfId="0" applyNumberFormat="1" applyFont="1" applyAlignment="1" applyProtection="1">
      <protection locked="0"/>
    </xf>
    <xf numFmtId="2" fontId="15" fillId="7" borderId="0" xfId="0" applyNumberFormat="1" applyFont="1" applyFill="1" applyAlignment="1"/>
    <xf numFmtId="2" fontId="15" fillId="3" borderId="0" xfId="0" applyNumberFormat="1" applyFont="1" applyFill="1" applyAlignment="1"/>
    <xf numFmtId="0" fontId="18" fillId="2" borderId="0" xfId="0" applyFont="1" applyFill="1" applyAlignment="1" applyProtection="1">
      <alignment horizontal="right"/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15" fillId="0" borderId="4" xfId="0" applyFont="1" applyBorder="1" applyAlignment="1" applyProtection="1">
      <protection locked="0"/>
    </xf>
    <xf numFmtId="0" fontId="15" fillId="0" borderId="10" xfId="0" applyFont="1" applyBorder="1" applyAlignment="1" applyProtection="1">
      <protection locked="0"/>
    </xf>
    <xf numFmtId="0" fontId="15" fillId="0" borderId="6" xfId="0" applyFont="1" applyBorder="1" applyAlignment="1" applyProtection="1">
      <protection locked="0"/>
    </xf>
    <xf numFmtId="10" fontId="15" fillId="0" borderId="0" xfId="7" applyFont="1" applyProtection="1">
      <protection locked="0"/>
    </xf>
    <xf numFmtId="0" fontId="19" fillId="0" borderId="5" xfId="0" applyFont="1" applyBorder="1" applyAlignment="1" applyProtection="1">
      <protection locked="0"/>
    </xf>
    <xf numFmtId="0" fontId="20" fillId="0" borderId="8" xfId="0" applyFont="1" applyBorder="1" applyAlignment="1" applyProtection="1">
      <protection locked="0"/>
    </xf>
    <xf numFmtId="0" fontId="15" fillId="0" borderId="12" xfId="0" applyFont="1" applyBorder="1" applyAlignment="1" applyProtection="1">
      <protection locked="0"/>
    </xf>
    <xf numFmtId="0" fontId="15" fillId="0" borderId="13" xfId="0" applyFont="1" applyBorder="1" applyAlignment="1" applyProtection="1">
      <protection locked="0"/>
    </xf>
    <xf numFmtId="2" fontId="15" fillId="8" borderId="0" xfId="0" applyNumberFormat="1" applyFont="1" applyFill="1" applyAlignment="1"/>
    <xf numFmtId="0" fontId="17" fillId="9" borderId="0" xfId="0" applyFont="1" applyFill="1" applyAlignment="1" applyProtection="1">
      <protection locked="0"/>
    </xf>
    <xf numFmtId="0" fontId="16" fillId="9" borderId="0" xfId="0" applyFont="1" applyFill="1" applyAlignment="1" applyProtection="1">
      <protection locked="0"/>
    </xf>
    <xf numFmtId="0" fontId="7" fillId="9" borderId="0" xfId="0" applyFont="1" applyFill="1" applyAlignment="1"/>
    <xf numFmtId="2" fontId="24" fillId="0" borderId="0" xfId="0" applyNumberFormat="1" applyFont="1" applyAlignment="1"/>
    <xf numFmtId="0" fontId="24" fillId="0" borderId="0" xfId="0" applyFont="1" applyAlignment="1"/>
    <xf numFmtId="2" fontId="16" fillId="0" borderId="4" xfId="0" applyNumberFormat="1" applyFont="1" applyBorder="1" applyAlignment="1" applyProtection="1">
      <protection locked="0"/>
    </xf>
    <xf numFmtId="2" fontId="19" fillId="0" borderId="0" xfId="0" applyNumberFormat="1" applyFont="1" applyAlignment="1" applyProtection="1">
      <protection locked="0"/>
    </xf>
    <xf numFmtId="2" fontId="21" fillId="0" borderId="0" xfId="0" applyNumberFormat="1" applyFont="1" applyAlignment="1" applyProtection="1">
      <protection locked="0"/>
    </xf>
    <xf numFmtId="0" fontId="19" fillId="0" borderId="3" xfId="0" applyFont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2" fontId="19" fillId="0" borderId="4" xfId="0" applyNumberFormat="1" applyFont="1" applyBorder="1" applyAlignment="1" applyProtection="1">
      <protection locked="0"/>
    </xf>
    <xf numFmtId="0" fontId="15" fillId="0" borderId="13" xfId="0" applyFont="1" applyBorder="1" applyAlignment="1">
      <alignment vertical="center"/>
    </xf>
    <xf numFmtId="2" fontId="19" fillId="0" borderId="0" xfId="0" applyNumberFormat="1" applyFont="1" applyAlignment="1"/>
    <xf numFmtId="2" fontId="16" fillId="9" borderId="0" xfId="0" applyNumberFormat="1" applyFont="1" applyFill="1" applyAlignment="1" applyProtection="1">
      <protection locked="0"/>
    </xf>
    <xf numFmtId="2" fontId="15" fillId="0" borderId="3" xfId="0" applyNumberFormat="1" applyFont="1" applyBorder="1" applyAlignment="1" applyProtection="1">
      <protection locked="0"/>
    </xf>
    <xf numFmtId="2" fontId="17" fillId="0" borderId="2" xfId="0" applyNumberFormat="1" applyFont="1" applyBorder="1" applyAlignment="1" applyProtection="1">
      <protection locked="0"/>
    </xf>
    <xf numFmtId="0" fontId="24" fillId="0" borderId="0" xfId="0" applyFont="1" applyAlignment="1" applyProtection="1">
      <protection locked="0"/>
    </xf>
    <xf numFmtId="0" fontId="21" fillId="0" borderId="0" xfId="0" applyFont="1" applyAlignment="1" applyProtection="1">
      <protection locked="0"/>
    </xf>
    <xf numFmtId="0" fontId="25" fillId="0" borderId="0" xfId="0" applyFont="1" applyAlignment="1" applyProtection="1">
      <protection locked="0"/>
    </xf>
    <xf numFmtId="0" fontId="0" fillId="0" borderId="4" xfId="0" applyBorder="1" applyAlignment="1" applyProtection="1">
      <protection locked="0"/>
    </xf>
    <xf numFmtId="0" fontId="25" fillId="0" borderId="4" xfId="0" applyFont="1" applyBorder="1" applyAlignment="1" applyProtection="1">
      <protection locked="0"/>
    </xf>
    <xf numFmtId="2" fontId="21" fillId="0" borderId="0" xfId="10" applyNumberFormat="1" applyFont="1" applyAlignment="1" applyProtection="1"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</cellXfs>
  <cellStyles count="11">
    <cellStyle name="Currency" xfId="10" builtinId="4"/>
    <cellStyle name="Date" xfId="1" xr:uid="{00000000-0005-0000-0000-000000000000}"/>
    <cellStyle name="En-tête 1" xfId="2" xr:uid="{00000000-0005-0000-0000-000001000000}"/>
    <cellStyle name="En-tête 2" xfId="3" xr:uid="{00000000-0005-0000-0000-000002000000}"/>
    <cellStyle name="Fixe" xfId="4" xr:uid="{00000000-0005-0000-0000-000003000000}"/>
    <cellStyle name="Monétaire0" xfId="5" xr:uid="{00000000-0005-0000-0000-000004000000}"/>
    <cellStyle name="Normal" xfId="0" builtinId="0"/>
    <cellStyle name="Normal 2" xfId="6" xr:uid="{00000000-0005-0000-0000-000006000000}"/>
    <cellStyle name="Percent" xfId="7" builtinId="5"/>
    <cellStyle name="Total" xfId="8" builtinId="25" customBuiltin="1"/>
    <cellStyle name="Virgule0" xfId="9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63"/>
  <sheetViews>
    <sheetView zoomScaleNormal="100" workbookViewId="0">
      <pane ySplit="2" topLeftCell="A3" activePane="bottomLeft" state="frozen"/>
      <selection pane="bottomLeft" activeCell="M16" sqref="M16"/>
    </sheetView>
  </sheetViews>
  <sheetFormatPr defaultColWidth="11.42578125" defaultRowHeight="12.75" x14ac:dyDescent="0.2"/>
  <cols>
    <col min="1" max="1" width="12" customWidth="1"/>
    <col min="2" max="2" width="10.5703125" bestFit="1" customWidth="1"/>
    <col min="3" max="3" width="10.5703125" customWidth="1"/>
    <col min="4" max="4" width="21" bestFit="1" customWidth="1"/>
    <col min="5" max="5" width="13" bestFit="1" customWidth="1"/>
    <col min="6" max="6" width="11.7109375" bestFit="1" customWidth="1"/>
    <col min="7" max="12" width="11.140625" hidden="1" customWidth="1"/>
    <col min="13" max="15" width="14.85546875" bestFit="1" customWidth="1"/>
    <col min="16" max="16" width="11.85546875" bestFit="1" customWidth="1"/>
  </cols>
  <sheetData>
    <row r="1" spans="1:16" x14ac:dyDescent="0.2">
      <c r="A1" s="19" t="s">
        <v>45</v>
      </c>
      <c r="B1" s="20" t="s">
        <v>46</v>
      </c>
      <c r="C1" s="20"/>
      <c r="D1" s="21" t="s">
        <v>47</v>
      </c>
      <c r="E1" s="21" t="s">
        <v>48</v>
      </c>
      <c r="F1" s="22" t="s">
        <v>3</v>
      </c>
      <c r="G1" s="23" t="s">
        <v>49</v>
      </c>
      <c r="H1" s="23" t="s">
        <v>50</v>
      </c>
      <c r="I1" s="23" t="s">
        <v>51</v>
      </c>
      <c r="J1" s="23" t="s">
        <v>52</v>
      </c>
      <c r="K1" s="23" t="s">
        <v>53</v>
      </c>
      <c r="L1" s="24" t="s">
        <v>54</v>
      </c>
      <c r="M1" s="26" t="s">
        <v>56</v>
      </c>
      <c r="N1" s="26" t="s">
        <v>57</v>
      </c>
      <c r="O1" s="26" t="s">
        <v>58</v>
      </c>
      <c r="P1" s="26" t="s">
        <v>63</v>
      </c>
    </row>
    <row r="2" spans="1:16" x14ac:dyDescent="0.2">
      <c r="A2" s="25" t="s">
        <v>55</v>
      </c>
      <c r="B2" s="29"/>
      <c r="C2" s="29"/>
      <c r="D2" s="29"/>
      <c r="E2" s="29"/>
      <c r="F2" s="29"/>
      <c r="G2" s="25"/>
      <c r="H2" s="25"/>
      <c r="I2" s="25"/>
      <c r="J2" s="25"/>
      <c r="K2" s="25"/>
      <c r="L2" s="25"/>
      <c r="M2" s="27" t="s">
        <v>90</v>
      </c>
      <c r="N2" s="27" t="s">
        <v>91</v>
      </c>
      <c r="O2" s="30" t="s">
        <v>79</v>
      </c>
      <c r="P2" s="30" t="s">
        <v>62</v>
      </c>
    </row>
    <row r="3" spans="1:16" x14ac:dyDescent="0.2">
      <c r="A3" s="25">
        <v>8643</v>
      </c>
      <c r="B3" s="31">
        <f>+Sommaire!A9</f>
        <v>5889</v>
      </c>
      <c r="C3" s="31" t="str">
        <f t="shared" ref="C3" si="0">RIGHT(CONCATENATE("000",B3),6)</f>
        <v>005889</v>
      </c>
      <c r="D3" t="str">
        <f>+Sommaire!B9</f>
        <v>Abou Assaly Linda</v>
      </c>
      <c r="E3">
        <v>0</v>
      </c>
      <c r="F3" s="32">
        <v>46060</v>
      </c>
      <c r="M3" s="1">
        <f>+Sommaire!BI9</f>
        <v>261.81</v>
      </c>
      <c r="N3" s="1">
        <f>+Sommaire!BJ9</f>
        <v>26.18</v>
      </c>
      <c r="O3" s="1">
        <f>+Sommaire!BO9</f>
        <v>26.18</v>
      </c>
      <c r="P3" s="1">
        <f>+Sommaire!BP9</f>
        <v>0</v>
      </c>
    </row>
    <row r="4" spans="1:16" x14ac:dyDescent="0.2">
      <c r="A4" s="25">
        <v>8643</v>
      </c>
      <c r="B4" s="31">
        <f>+Sommaire!A10</f>
        <v>5674</v>
      </c>
      <c r="C4" s="31" t="str">
        <f t="shared" ref="C4:C57" si="1">RIGHT(CONCATENATE("000",B4),6)</f>
        <v>005674</v>
      </c>
      <c r="D4" t="str">
        <f>+Sommaire!B10</f>
        <v xml:space="preserve">BALZAGE, Julien </v>
      </c>
      <c r="E4">
        <v>0</v>
      </c>
      <c r="F4" s="32">
        <v>46060</v>
      </c>
      <c r="M4" s="1">
        <f>+Sommaire!BI10</f>
        <v>8639.86</v>
      </c>
      <c r="N4" s="1">
        <f>+Sommaire!BJ10</f>
        <v>861.84</v>
      </c>
      <c r="O4" s="1">
        <f>+Sommaire!BO10</f>
        <v>861.84</v>
      </c>
      <c r="P4" s="1">
        <f>+Sommaire!BP10</f>
        <v>0</v>
      </c>
    </row>
    <row r="5" spans="1:16" x14ac:dyDescent="0.2">
      <c r="A5" s="25">
        <v>8643</v>
      </c>
      <c r="B5" s="31">
        <f>+Sommaire!A11</f>
        <v>92704</v>
      </c>
      <c r="C5" s="31" t="str">
        <f t="shared" si="1"/>
        <v>092704</v>
      </c>
      <c r="D5" t="str">
        <f>+Sommaire!B11</f>
        <v>Belanger  Danielle</v>
      </c>
      <c r="E5">
        <v>0</v>
      </c>
      <c r="F5" s="32">
        <v>46060</v>
      </c>
      <c r="M5" s="1">
        <f>+Sommaire!BI11</f>
        <v>0</v>
      </c>
      <c r="N5" s="1">
        <f>+Sommaire!BJ11</f>
        <v>0</v>
      </c>
      <c r="O5" s="1">
        <f>+Sommaire!BO11</f>
        <v>0</v>
      </c>
      <c r="P5" s="1">
        <f>+Sommaire!BP11</f>
        <v>0</v>
      </c>
    </row>
    <row r="6" spans="1:16" x14ac:dyDescent="0.2">
      <c r="A6" s="25">
        <v>8643</v>
      </c>
      <c r="B6" s="31">
        <f>+Sommaire!A12</f>
        <v>93512</v>
      </c>
      <c r="C6" s="31" t="str">
        <f t="shared" si="1"/>
        <v>093512</v>
      </c>
      <c r="D6" t="str">
        <f>+Sommaire!B12</f>
        <v>Bergeron Josee</v>
      </c>
      <c r="E6">
        <v>0</v>
      </c>
      <c r="F6" s="32">
        <v>46060</v>
      </c>
      <c r="M6" s="1">
        <f>+Sommaire!BI12</f>
        <v>0</v>
      </c>
      <c r="N6" s="1">
        <f>+Sommaire!BJ12</f>
        <v>0</v>
      </c>
      <c r="O6" s="1">
        <f>+Sommaire!BO12</f>
        <v>0</v>
      </c>
      <c r="P6" s="1">
        <f>+Sommaire!BP12</f>
        <v>0</v>
      </c>
    </row>
    <row r="7" spans="1:16" x14ac:dyDescent="0.2">
      <c r="A7" s="25">
        <v>8643</v>
      </c>
      <c r="B7" s="31">
        <f>+Sommaire!A13</f>
        <v>5274</v>
      </c>
      <c r="C7" s="31" t="str">
        <f t="shared" si="1"/>
        <v>005274</v>
      </c>
      <c r="D7" t="str">
        <f>+Sommaire!B13</f>
        <v>Bernachez, Stephane</v>
      </c>
      <c r="E7">
        <v>0</v>
      </c>
      <c r="F7" s="32">
        <v>46060</v>
      </c>
      <c r="M7" s="1">
        <f>+Sommaire!BI13</f>
        <v>9143.5499999999993</v>
      </c>
      <c r="N7" s="1">
        <f>+Sommaire!BJ13</f>
        <v>916.60000000000014</v>
      </c>
      <c r="O7" s="1">
        <f>+Sommaire!BO13</f>
        <v>916.60000000000014</v>
      </c>
      <c r="P7" s="1">
        <f>+Sommaire!BP13</f>
        <v>0</v>
      </c>
    </row>
    <row r="8" spans="1:16" x14ac:dyDescent="0.2">
      <c r="A8" s="25">
        <v>8643</v>
      </c>
      <c r="B8" s="31">
        <f>+Sommaire!A14</f>
        <v>5749</v>
      </c>
      <c r="C8" s="31" t="str">
        <f t="shared" si="1"/>
        <v>005749</v>
      </c>
      <c r="D8" t="str">
        <f>+Sommaire!B14</f>
        <v>Bertrand Nicolas</v>
      </c>
      <c r="E8">
        <v>0</v>
      </c>
      <c r="F8" s="32">
        <v>46060</v>
      </c>
      <c r="M8" s="1">
        <f>+Sommaire!BI14</f>
        <v>10907.48</v>
      </c>
      <c r="N8" s="1">
        <f>+Sommaire!BJ14</f>
        <v>1259.83</v>
      </c>
      <c r="O8" s="1">
        <f>+Sommaire!BO14</f>
        <v>1259.83</v>
      </c>
      <c r="P8" s="1">
        <f>+Sommaire!BP14</f>
        <v>0</v>
      </c>
    </row>
    <row r="9" spans="1:16" x14ac:dyDescent="0.2">
      <c r="A9" s="25">
        <v>8643</v>
      </c>
      <c r="B9" s="31">
        <f>+Sommaire!A15</f>
        <v>91663</v>
      </c>
      <c r="C9" s="31" t="str">
        <f t="shared" si="1"/>
        <v>091663</v>
      </c>
      <c r="D9" t="str">
        <f>+Sommaire!B15</f>
        <v>Bordeleau Lyne</v>
      </c>
      <c r="E9">
        <v>0</v>
      </c>
      <c r="F9" s="32">
        <v>46060</v>
      </c>
      <c r="M9" s="1">
        <f>+Sommaire!BI15</f>
        <v>0</v>
      </c>
      <c r="N9" s="1">
        <f>+Sommaire!BJ15</f>
        <v>0</v>
      </c>
      <c r="O9" s="1">
        <f>+Sommaire!BO15</f>
        <v>0</v>
      </c>
      <c r="P9" s="1">
        <f>+Sommaire!BP15</f>
        <v>0</v>
      </c>
    </row>
    <row r="10" spans="1:16" x14ac:dyDescent="0.2">
      <c r="A10" s="25">
        <v>8643</v>
      </c>
      <c r="B10" s="31">
        <f>+Sommaire!A16</f>
        <v>5515</v>
      </c>
      <c r="C10" s="31" t="str">
        <f t="shared" si="1"/>
        <v>005515</v>
      </c>
      <c r="D10" t="str">
        <f>+Sommaire!B16</f>
        <v>Campos. Plinio Testa</v>
      </c>
      <c r="E10">
        <v>0</v>
      </c>
      <c r="F10" s="32">
        <v>46060</v>
      </c>
      <c r="M10" s="1">
        <f>+Sommaire!BI16</f>
        <v>13340.81</v>
      </c>
      <c r="N10" s="1">
        <f>+Sommaire!BJ16</f>
        <v>1331.81</v>
      </c>
      <c r="O10" s="1">
        <f>+Sommaire!BO16</f>
        <v>1331.81</v>
      </c>
      <c r="P10" s="1">
        <f>+Sommaire!BP16</f>
        <v>0</v>
      </c>
    </row>
    <row r="11" spans="1:16" x14ac:dyDescent="0.2">
      <c r="A11" s="25">
        <v>8643</v>
      </c>
      <c r="B11" s="31">
        <f>+Sommaire!A17</f>
        <v>5361</v>
      </c>
      <c r="C11" s="31" t="str">
        <f t="shared" si="1"/>
        <v>005361</v>
      </c>
      <c r="D11" t="str">
        <f>+Sommaire!B17</f>
        <v>Cecile patricia</v>
      </c>
      <c r="E11">
        <v>0</v>
      </c>
      <c r="F11" s="32">
        <v>46060</v>
      </c>
      <c r="M11" s="1">
        <f>+Sommaire!BI17</f>
        <v>5580.380000000001</v>
      </c>
      <c r="N11" s="1">
        <f>+Sommaire!BJ17</f>
        <v>560.72</v>
      </c>
      <c r="O11" s="1">
        <f>+Sommaire!BO17</f>
        <v>560.72</v>
      </c>
      <c r="P11" s="1">
        <f>+Sommaire!BP17</f>
        <v>0</v>
      </c>
    </row>
    <row r="12" spans="1:16" x14ac:dyDescent="0.2">
      <c r="A12" s="25">
        <v>8643</v>
      </c>
      <c r="B12" s="31">
        <f>+Sommaire!A18</f>
        <v>4219</v>
      </c>
      <c r="C12" s="31" t="str">
        <f t="shared" si="1"/>
        <v>004219</v>
      </c>
      <c r="D12" t="str">
        <f>+Sommaire!B18</f>
        <v>Chartier Marie-Eve</v>
      </c>
      <c r="E12">
        <v>0</v>
      </c>
      <c r="F12" s="32">
        <v>46060</v>
      </c>
      <c r="M12" s="1">
        <f>+Sommaire!BI18</f>
        <v>0</v>
      </c>
      <c r="N12" s="1">
        <f>+Sommaire!BJ18</f>
        <v>0</v>
      </c>
      <c r="O12" s="1">
        <f>+Sommaire!BO18</f>
        <v>0</v>
      </c>
      <c r="P12" s="1">
        <f>+Sommaire!BP18</f>
        <v>0</v>
      </c>
    </row>
    <row r="13" spans="1:16" x14ac:dyDescent="0.2">
      <c r="A13" s="25">
        <v>8643</v>
      </c>
      <c r="B13" s="31">
        <f>+Sommaire!A19</f>
        <v>3767</v>
      </c>
      <c r="C13" s="31" t="str">
        <f t="shared" si="1"/>
        <v>003767</v>
      </c>
      <c r="D13" t="str">
        <f>+Sommaire!B19</f>
        <v xml:space="preserve">Dagenais Julie </v>
      </c>
      <c r="E13">
        <v>0</v>
      </c>
      <c r="F13" s="32">
        <v>46060</v>
      </c>
      <c r="M13" s="1">
        <f>+Sommaire!BI19</f>
        <v>545.96</v>
      </c>
      <c r="N13" s="1">
        <f>+Sommaire!BJ19</f>
        <v>54.45</v>
      </c>
      <c r="O13" s="1">
        <f>+Sommaire!BO19</f>
        <v>54.45</v>
      </c>
      <c r="P13" s="1">
        <f>+Sommaire!BP19</f>
        <v>0</v>
      </c>
    </row>
    <row r="14" spans="1:16" x14ac:dyDescent="0.2">
      <c r="A14" s="25">
        <v>8643</v>
      </c>
      <c r="B14" s="31">
        <f>+Sommaire!A20</f>
        <v>5742</v>
      </c>
      <c r="C14" s="31" t="str">
        <f t="shared" si="1"/>
        <v>005742</v>
      </c>
      <c r="D14" t="str">
        <f>+Sommaire!B20</f>
        <v>Di Blasio Bianca</v>
      </c>
      <c r="E14">
        <v>0</v>
      </c>
      <c r="F14" s="32">
        <v>46060</v>
      </c>
      <c r="M14" s="1">
        <f>+Sommaire!BI20</f>
        <v>0</v>
      </c>
      <c r="N14" s="1">
        <f>+Sommaire!BJ20</f>
        <v>0</v>
      </c>
      <c r="O14" s="1">
        <f>+Sommaire!BO20</f>
        <v>0</v>
      </c>
      <c r="P14" s="1">
        <f>+Sommaire!BP20</f>
        <v>0</v>
      </c>
    </row>
    <row r="15" spans="1:16" x14ac:dyDescent="0.2">
      <c r="A15" s="25">
        <v>8643</v>
      </c>
      <c r="B15" s="31">
        <f>+Sommaire!A21</f>
        <v>4290</v>
      </c>
      <c r="C15" s="31" t="str">
        <f t="shared" si="1"/>
        <v>004290</v>
      </c>
      <c r="D15" t="str">
        <f>+Sommaire!B21</f>
        <v>Difrusia Costantino</v>
      </c>
      <c r="E15">
        <v>0</v>
      </c>
      <c r="F15" s="32">
        <v>46060</v>
      </c>
      <c r="M15" s="1">
        <f>+Sommaire!BI21</f>
        <v>4742.6299999999992</v>
      </c>
      <c r="N15" s="1">
        <f>+Sommaire!BJ21</f>
        <v>473.81</v>
      </c>
      <c r="O15" s="1">
        <f>+Sommaire!BO21</f>
        <v>473.81</v>
      </c>
      <c r="P15" s="1">
        <f>+Sommaire!BP21</f>
        <v>0</v>
      </c>
    </row>
    <row r="16" spans="1:16" x14ac:dyDescent="0.2">
      <c r="A16" s="25">
        <v>8643</v>
      </c>
      <c r="B16" s="31">
        <f>+Sommaire!A22</f>
        <v>3796</v>
      </c>
      <c r="C16" s="31" t="str">
        <f t="shared" si="1"/>
        <v>003796</v>
      </c>
      <c r="D16" t="str">
        <f>+Sommaire!B22</f>
        <v>Dupont Frederick</v>
      </c>
      <c r="E16">
        <v>0</v>
      </c>
      <c r="F16" s="32">
        <v>46060</v>
      </c>
      <c r="M16" s="1">
        <f>+Sommaire!BI22</f>
        <v>0</v>
      </c>
      <c r="N16" s="1">
        <f>+Sommaire!BJ22</f>
        <v>0</v>
      </c>
      <c r="O16" s="1">
        <f>+Sommaire!BO22</f>
        <v>0</v>
      </c>
      <c r="P16" s="1">
        <f>+Sommaire!BP22</f>
        <v>0</v>
      </c>
    </row>
    <row r="17" spans="1:16" x14ac:dyDescent="0.2">
      <c r="A17" s="25">
        <v>8643</v>
      </c>
      <c r="B17" s="31">
        <f>+Sommaire!A23</f>
        <v>90333</v>
      </c>
      <c r="C17" s="31" t="str">
        <f t="shared" si="1"/>
        <v>090333</v>
      </c>
      <c r="D17" t="str">
        <f>+Sommaire!B23</f>
        <v>Emond Pierre</v>
      </c>
      <c r="E17">
        <v>0</v>
      </c>
      <c r="F17" s="32">
        <v>46060</v>
      </c>
      <c r="M17" s="1">
        <f>+Sommaire!BI23</f>
        <v>0</v>
      </c>
      <c r="N17" s="1">
        <f>+Sommaire!BJ23</f>
        <v>0</v>
      </c>
      <c r="O17" s="1">
        <f>+Sommaire!BO23</f>
        <v>0</v>
      </c>
      <c r="P17" s="1">
        <f>+Sommaire!BP23</f>
        <v>0</v>
      </c>
    </row>
    <row r="18" spans="1:16" x14ac:dyDescent="0.2">
      <c r="A18" s="25">
        <v>8643</v>
      </c>
      <c r="B18" s="31">
        <f>+Sommaire!A24</f>
        <v>5824</v>
      </c>
      <c r="C18" s="31" t="str">
        <f t="shared" si="1"/>
        <v>005824</v>
      </c>
      <c r="D18" t="str">
        <f>+Sommaire!B24</f>
        <v>Faucher-Lavallee David</v>
      </c>
      <c r="E18">
        <v>0</v>
      </c>
      <c r="F18" s="32">
        <v>46060</v>
      </c>
      <c r="M18" s="1">
        <f>+Sommaire!BI24</f>
        <v>0</v>
      </c>
      <c r="N18" s="1">
        <f>+Sommaire!BJ24</f>
        <v>0</v>
      </c>
      <c r="O18" s="1">
        <f>+Sommaire!BO24</f>
        <v>0</v>
      </c>
      <c r="P18" s="1">
        <f>+Sommaire!BP24</f>
        <v>0</v>
      </c>
    </row>
    <row r="19" spans="1:16" x14ac:dyDescent="0.2">
      <c r="A19" s="25">
        <v>8643</v>
      </c>
      <c r="B19" s="31">
        <f>+Sommaire!A25</f>
        <v>5734</v>
      </c>
      <c r="C19" s="31" t="str">
        <f t="shared" si="1"/>
        <v>005734</v>
      </c>
      <c r="D19" t="str">
        <f>+Sommaire!B25</f>
        <v>Forget Caroline</v>
      </c>
      <c r="E19">
        <v>0</v>
      </c>
      <c r="F19" s="32">
        <v>46060</v>
      </c>
      <c r="M19" s="1">
        <f>+Sommaire!BI25</f>
        <v>8789.99</v>
      </c>
      <c r="N19" s="1">
        <f>+Sommaire!BJ25</f>
        <v>877.06999999999994</v>
      </c>
      <c r="O19" s="1">
        <f>+Sommaire!BO25</f>
        <v>877.06999999999994</v>
      </c>
      <c r="P19" s="1">
        <f>+Sommaire!BP25</f>
        <v>0</v>
      </c>
    </row>
    <row r="20" spans="1:16" x14ac:dyDescent="0.2">
      <c r="A20" s="25">
        <v>8643</v>
      </c>
      <c r="B20" s="31">
        <f>+Sommaire!A26</f>
        <v>5628</v>
      </c>
      <c r="C20" s="31" t="str">
        <f t="shared" si="1"/>
        <v>005628</v>
      </c>
      <c r="D20" t="str">
        <f>+Sommaire!B26</f>
        <v>Giorgi david</v>
      </c>
      <c r="E20">
        <v>0</v>
      </c>
      <c r="F20" s="32">
        <v>46060</v>
      </c>
      <c r="M20" s="1">
        <f>+Sommaire!BI26</f>
        <v>0</v>
      </c>
      <c r="N20" s="1">
        <f>+Sommaire!BJ26</f>
        <v>0</v>
      </c>
      <c r="O20" s="1">
        <f>+Sommaire!BO26</f>
        <v>0</v>
      </c>
      <c r="P20" s="1">
        <f>+Sommaire!BP26</f>
        <v>0</v>
      </c>
    </row>
    <row r="21" spans="1:16" x14ac:dyDescent="0.2">
      <c r="A21" s="25">
        <v>8643</v>
      </c>
      <c r="B21" s="31">
        <f>+Sommaire!A27</f>
        <v>5675</v>
      </c>
      <c r="C21" s="31" t="str">
        <f t="shared" si="1"/>
        <v>005675</v>
      </c>
      <c r="D21" t="str">
        <f>+Sommaire!B27</f>
        <v>Gagnon Sabrina</v>
      </c>
      <c r="E21">
        <v>0</v>
      </c>
      <c r="F21" s="32">
        <v>46060</v>
      </c>
      <c r="M21" s="1">
        <f>+Sommaire!BI27</f>
        <v>0</v>
      </c>
      <c r="N21" s="1">
        <f>+Sommaire!BJ27</f>
        <v>0</v>
      </c>
      <c r="O21" s="1">
        <f>+Sommaire!BO27</f>
        <v>0</v>
      </c>
      <c r="P21" s="1">
        <f>+Sommaire!BP27</f>
        <v>0</v>
      </c>
    </row>
    <row r="22" spans="1:16" x14ac:dyDescent="0.2">
      <c r="A22" s="25">
        <v>8643</v>
      </c>
      <c r="B22" s="31">
        <f>+Sommaire!A28</f>
        <v>5893</v>
      </c>
      <c r="C22" s="31" t="str">
        <f t="shared" si="1"/>
        <v>005893</v>
      </c>
      <c r="D22" t="str">
        <f>+Sommaire!B28</f>
        <v>Gallego Camila Maria</v>
      </c>
      <c r="E22">
        <v>0</v>
      </c>
      <c r="F22" s="32">
        <v>46060</v>
      </c>
      <c r="M22" s="1">
        <f>+Sommaire!BI28</f>
        <v>1483.59</v>
      </c>
      <c r="N22" s="1">
        <f>+Sommaire!BJ28</f>
        <v>148.28</v>
      </c>
      <c r="O22" s="1">
        <f>+Sommaire!BO28</f>
        <v>148.28</v>
      </c>
      <c r="P22" s="1">
        <f>+Sommaire!BP28</f>
        <v>0</v>
      </c>
    </row>
    <row r="23" spans="1:16" x14ac:dyDescent="0.2">
      <c r="A23" s="25">
        <v>8643</v>
      </c>
      <c r="B23" s="31">
        <f>+Sommaire!A29</f>
        <v>93127</v>
      </c>
      <c r="C23" s="31" t="str">
        <f t="shared" si="1"/>
        <v>093127</v>
      </c>
      <c r="D23" t="str">
        <f>+Sommaire!B29</f>
        <v>George Youri</v>
      </c>
      <c r="E23">
        <v>0</v>
      </c>
      <c r="F23" s="32">
        <v>46060</v>
      </c>
      <c r="M23" s="1">
        <f>+Sommaire!BI29</f>
        <v>0</v>
      </c>
      <c r="N23" s="1">
        <f>+Sommaire!BJ29</f>
        <v>0</v>
      </c>
      <c r="O23" s="1">
        <f>+Sommaire!BO29</f>
        <v>0</v>
      </c>
      <c r="P23" s="1">
        <f>+Sommaire!BP29</f>
        <v>0</v>
      </c>
    </row>
    <row r="24" spans="1:16" x14ac:dyDescent="0.2">
      <c r="A24" s="25">
        <v>8643</v>
      </c>
      <c r="B24" s="31">
        <f>+Sommaire!A30</f>
        <v>5895</v>
      </c>
      <c r="C24" s="31" t="str">
        <f t="shared" si="1"/>
        <v>005895</v>
      </c>
      <c r="D24" t="str">
        <f>+Sommaire!B30</f>
        <v>Grenon Chloe</v>
      </c>
      <c r="E24">
        <v>0</v>
      </c>
      <c r="F24" s="32">
        <v>46060</v>
      </c>
      <c r="M24" s="1">
        <f>+Sommaire!BI30</f>
        <v>1422.92</v>
      </c>
      <c r="N24" s="1">
        <f>+Sommaire!BJ30</f>
        <v>142.30000000000001</v>
      </c>
      <c r="O24" s="1">
        <f>+Sommaire!BO30</f>
        <v>142.30000000000001</v>
      </c>
      <c r="P24" s="1">
        <f>+Sommaire!BP30</f>
        <v>0</v>
      </c>
    </row>
    <row r="25" spans="1:16" x14ac:dyDescent="0.2">
      <c r="A25" s="25">
        <v>8643</v>
      </c>
      <c r="B25" s="31">
        <f>+Sommaire!A31</f>
        <v>93606</v>
      </c>
      <c r="C25" s="31" t="str">
        <f t="shared" si="1"/>
        <v>093606</v>
      </c>
      <c r="D25" t="str">
        <f>+Sommaire!B31</f>
        <v>Guerin Valerie</v>
      </c>
      <c r="E25">
        <v>0</v>
      </c>
      <c r="F25" s="32">
        <v>46060</v>
      </c>
      <c r="M25" s="1">
        <f>+Sommaire!BI31</f>
        <v>0</v>
      </c>
      <c r="N25" s="1">
        <f>+Sommaire!BJ31</f>
        <v>0</v>
      </c>
      <c r="O25" s="1">
        <f>+Sommaire!BO31</f>
        <v>0</v>
      </c>
      <c r="P25" s="1">
        <f>+Sommaire!BP31</f>
        <v>0</v>
      </c>
    </row>
    <row r="26" spans="1:16" x14ac:dyDescent="0.2">
      <c r="A26" s="25">
        <v>8643</v>
      </c>
      <c r="B26" s="31">
        <f>+Sommaire!A32</f>
        <v>92908</v>
      </c>
      <c r="C26" s="31" t="str">
        <f t="shared" si="1"/>
        <v>092908</v>
      </c>
      <c r="D26" t="str">
        <f>+Sommaire!B32</f>
        <v>Hammond Kelly-Ann</v>
      </c>
      <c r="E26">
        <v>0</v>
      </c>
      <c r="F26" s="32">
        <v>46060</v>
      </c>
      <c r="M26" s="1">
        <f>+Sommaire!BI32</f>
        <v>0</v>
      </c>
      <c r="N26" s="1">
        <f>+Sommaire!BJ32</f>
        <v>0</v>
      </c>
      <c r="O26" s="1">
        <f>+Sommaire!BO32</f>
        <v>0</v>
      </c>
      <c r="P26" s="1">
        <f>+Sommaire!BP32</f>
        <v>0</v>
      </c>
    </row>
    <row r="27" spans="1:16" x14ac:dyDescent="0.2">
      <c r="A27" s="25">
        <v>8643</v>
      </c>
      <c r="B27" s="31">
        <f>+Sommaire!A33</f>
        <v>4100</v>
      </c>
      <c r="C27" s="31" t="str">
        <f t="shared" si="1"/>
        <v>004100</v>
      </c>
      <c r="D27" t="str">
        <f>+Sommaire!B33</f>
        <v>Jacques Ylan Michel</v>
      </c>
      <c r="E27">
        <v>0</v>
      </c>
      <c r="F27" s="32">
        <v>46060</v>
      </c>
      <c r="M27" s="1">
        <f>+Sommaire!BI33</f>
        <v>0</v>
      </c>
      <c r="N27" s="1">
        <f>+Sommaire!BJ33</f>
        <v>0</v>
      </c>
      <c r="O27" s="1">
        <f>+Sommaire!BO33</f>
        <v>0</v>
      </c>
      <c r="P27" s="1">
        <f>+Sommaire!BP33</f>
        <v>0</v>
      </c>
    </row>
    <row r="28" spans="1:16" x14ac:dyDescent="0.2">
      <c r="A28" s="25">
        <v>8643</v>
      </c>
      <c r="B28" s="31">
        <f>+Sommaire!A34</f>
        <v>5131</v>
      </c>
      <c r="C28" s="31" t="str">
        <f t="shared" si="1"/>
        <v>005131</v>
      </c>
      <c r="D28" t="str">
        <f>+Sommaire!B34</f>
        <v>Katsenis Spiro</v>
      </c>
      <c r="E28">
        <v>0</v>
      </c>
      <c r="F28" s="32">
        <v>46060</v>
      </c>
      <c r="M28" s="1">
        <f>+Sommaire!BI34</f>
        <v>4714.7800000000007</v>
      </c>
      <c r="N28" s="1">
        <f>+Sommaire!BJ34</f>
        <v>473.42000000000007</v>
      </c>
      <c r="O28" s="1">
        <f>+Sommaire!BO34</f>
        <v>473.42000000000007</v>
      </c>
      <c r="P28" s="1">
        <f>+Sommaire!BP34</f>
        <v>0</v>
      </c>
    </row>
    <row r="29" spans="1:16" x14ac:dyDescent="0.2">
      <c r="A29" s="25">
        <v>8643</v>
      </c>
      <c r="B29" s="31">
        <f>+Sommaire!A35</f>
        <v>92484</v>
      </c>
      <c r="C29" s="31" t="str">
        <f t="shared" si="1"/>
        <v>092484</v>
      </c>
      <c r="D29" t="str">
        <f>+Sommaire!B35</f>
        <v>Latulippe Stephane</v>
      </c>
      <c r="E29">
        <v>0</v>
      </c>
      <c r="F29" s="32">
        <v>46060</v>
      </c>
      <c r="M29" s="1">
        <f>+Sommaire!BI35</f>
        <v>628.14</v>
      </c>
      <c r="N29" s="1">
        <f>+Sommaire!BJ35</f>
        <v>62.75</v>
      </c>
      <c r="O29" s="1">
        <f>+Sommaire!BO35</f>
        <v>62.75</v>
      </c>
      <c r="P29" s="1">
        <f>+Sommaire!BP35</f>
        <v>0</v>
      </c>
    </row>
    <row r="30" spans="1:16" x14ac:dyDescent="0.2">
      <c r="A30" s="25">
        <v>8643</v>
      </c>
      <c r="B30" s="31">
        <f>+Sommaire!A36</f>
        <v>5534</v>
      </c>
      <c r="C30" s="31" t="str">
        <f t="shared" si="1"/>
        <v>005534</v>
      </c>
      <c r="D30" t="str">
        <f>+Sommaire!B36</f>
        <v>Labreche emilie</v>
      </c>
      <c r="E30">
        <v>0</v>
      </c>
      <c r="F30" s="32">
        <v>46060</v>
      </c>
      <c r="M30" s="1">
        <f>+Sommaire!BI36</f>
        <v>0</v>
      </c>
      <c r="N30" s="1">
        <f>+Sommaire!BJ36</f>
        <v>0</v>
      </c>
      <c r="O30" s="1">
        <f>+Sommaire!BO36</f>
        <v>0</v>
      </c>
      <c r="P30" s="1">
        <f>+Sommaire!BP36</f>
        <v>0</v>
      </c>
    </row>
    <row r="31" spans="1:16" x14ac:dyDescent="0.2">
      <c r="A31" s="25">
        <v>8643</v>
      </c>
      <c r="B31" s="31">
        <f>+Sommaire!A37</f>
        <v>5812</v>
      </c>
      <c r="C31" s="31" t="str">
        <f t="shared" si="1"/>
        <v>005812</v>
      </c>
      <c r="D31" t="str">
        <f>+Sommaire!B37</f>
        <v>Leclair Isabelle</v>
      </c>
      <c r="E31">
        <v>0</v>
      </c>
      <c r="F31" s="32">
        <v>46060</v>
      </c>
      <c r="M31" s="1">
        <f>+Sommaire!BI37</f>
        <v>9046.26</v>
      </c>
      <c r="N31" s="1">
        <f>+Sommaire!BJ37</f>
        <v>903.4699999999998</v>
      </c>
      <c r="O31" s="1">
        <f>+Sommaire!BO37</f>
        <v>903.4699999999998</v>
      </c>
      <c r="P31" s="1">
        <f>+Sommaire!BP37</f>
        <v>0</v>
      </c>
    </row>
    <row r="32" spans="1:16" x14ac:dyDescent="0.2">
      <c r="A32" s="25">
        <v>8643</v>
      </c>
      <c r="B32" s="31">
        <f>+Sommaire!A38</f>
        <v>4101</v>
      </c>
      <c r="C32" s="31" t="str">
        <f t="shared" si="1"/>
        <v>004101</v>
      </c>
      <c r="D32" t="str">
        <f>+Sommaire!B38</f>
        <v>Leclerc Karl</v>
      </c>
      <c r="E32">
        <v>0</v>
      </c>
      <c r="F32" s="32">
        <v>46060</v>
      </c>
      <c r="M32" s="1">
        <f>+Sommaire!BI38</f>
        <v>0</v>
      </c>
      <c r="N32" s="1">
        <f>+Sommaire!BJ38</f>
        <v>0</v>
      </c>
      <c r="O32" s="1">
        <f>+Sommaire!BO38</f>
        <v>0</v>
      </c>
      <c r="P32" s="1">
        <f>+Sommaire!BP38</f>
        <v>0</v>
      </c>
    </row>
    <row r="33" spans="1:16" x14ac:dyDescent="0.2">
      <c r="A33" s="25">
        <v>8643</v>
      </c>
      <c r="B33" s="31">
        <f>+Sommaire!A39</f>
        <v>4600</v>
      </c>
      <c r="C33" s="31" t="str">
        <f t="shared" si="1"/>
        <v>004600</v>
      </c>
      <c r="D33" t="str">
        <f>+Sommaire!B39</f>
        <v>Lefebvre Martin</v>
      </c>
      <c r="E33">
        <v>0</v>
      </c>
      <c r="F33" s="32">
        <v>46060</v>
      </c>
      <c r="M33" s="1">
        <f>+Sommaire!BI39</f>
        <v>0</v>
      </c>
      <c r="N33" s="1">
        <f>+Sommaire!BJ39</f>
        <v>0</v>
      </c>
      <c r="O33" s="1">
        <f>+Sommaire!BO39</f>
        <v>0</v>
      </c>
      <c r="P33" s="1">
        <f>+Sommaire!BP39</f>
        <v>0</v>
      </c>
    </row>
    <row r="34" spans="1:16" x14ac:dyDescent="0.2">
      <c r="A34" s="25">
        <v>8643</v>
      </c>
      <c r="B34" s="31">
        <f>+Sommaire!A40</f>
        <v>4717</v>
      </c>
      <c r="C34" s="31" t="str">
        <f t="shared" si="1"/>
        <v>004717</v>
      </c>
      <c r="D34" t="str">
        <f>+Sommaire!B40</f>
        <v>Letourneau Sarah</v>
      </c>
      <c r="E34">
        <v>0</v>
      </c>
      <c r="F34" s="32">
        <v>46060</v>
      </c>
      <c r="M34" s="1">
        <f>+Sommaire!BI40</f>
        <v>0</v>
      </c>
      <c r="N34" s="1">
        <f>+Sommaire!BJ40</f>
        <v>0</v>
      </c>
      <c r="O34" s="1">
        <f>+Sommaire!BO40</f>
        <v>0</v>
      </c>
      <c r="P34" s="1">
        <f>+Sommaire!BP40</f>
        <v>0</v>
      </c>
    </row>
    <row r="35" spans="1:16" x14ac:dyDescent="0.2">
      <c r="A35" s="25">
        <v>8643</v>
      </c>
      <c r="B35" s="31">
        <f>+Sommaire!A41</f>
        <v>400</v>
      </c>
      <c r="C35" s="31" t="str">
        <f t="shared" si="1"/>
        <v>000400</v>
      </c>
      <c r="D35" t="str">
        <f>+Sommaire!B41</f>
        <v>Lim Mathy</v>
      </c>
      <c r="E35">
        <v>0</v>
      </c>
      <c r="F35" s="32">
        <v>46060</v>
      </c>
      <c r="M35" s="1">
        <f>+Sommaire!BI41</f>
        <v>0</v>
      </c>
      <c r="N35" s="1">
        <f>+Sommaire!BJ41</f>
        <v>0</v>
      </c>
      <c r="O35" s="1">
        <f>+Sommaire!BO41</f>
        <v>0</v>
      </c>
      <c r="P35" s="1">
        <f>+Sommaire!BP41</f>
        <v>0</v>
      </c>
    </row>
    <row r="36" spans="1:16" x14ac:dyDescent="0.2">
      <c r="A36" s="25">
        <v>8643</v>
      </c>
      <c r="B36" s="31">
        <f>+Sommaire!A42</f>
        <v>5601</v>
      </c>
      <c r="C36" s="31" t="str">
        <f t="shared" si="1"/>
        <v>005601</v>
      </c>
      <c r="D36" t="str">
        <f>+Sommaire!B42</f>
        <v>Lebel Genevieve</v>
      </c>
      <c r="E36">
        <v>0</v>
      </c>
      <c r="F36" s="32">
        <v>46060</v>
      </c>
      <c r="M36" s="1">
        <f>+Sommaire!BI42</f>
        <v>0</v>
      </c>
      <c r="N36" s="1">
        <f>+Sommaire!BJ42</f>
        <v>0</v>
      </c>
      <c r="O36" s="1">
        <f>+Sommaire!BO42</f>
        <v>0</v>
      </c>
      <c r="P36" s="1">
        <f>+Sommaire!BP42</f>
        <v>0</v>
      </c>
    </row>
    <row r="37" spans="1:16" x14ac:dyDescent="0.2">
      <c r="A37" s="25">
        <v>8643</v>
      </c>
      <c r="B37" s="31">
        <f>+Sommaire!A43</f>
        <v>5885</v>
      </c>
      <c r="C37" s="31" t="str">
        <f t="shared" si="1"/>
        <v>005885</v>
      </c>
      <c r="D37" t="str">
        <f>+Sommaire!B43</f>
        <v xml:space="preserve">Lussier Emmanuelle </v>
      </c>
      <c r="E37">
        <v>0</v>
      </c>
      <c r="F37" s="32">
        <v>46060</v>
      </c>
      <c r="M37" s="1">
        <f>+Sommaire!BI43</f>
        <v>4983.6999999999989</v>
      </c>
      <c r="N37" s="1">
        <f>+Sommaire!BJ43</f>
        <v>497.95</v>
      </c>
      <c r="O37" s="1">
        <f>+Sommaire!BO43</f>
        <v>497.95</v>
      </c>
      <c r="P37" s="1">
        <f>+Sommaire!BP43</f>
        <v>0</v>
      </c>
    </row>
    <row r="38" spans="1:16" x14ac:dyDescent="0.2">
      <c r="A38" s="25">
        <v>8643</v>
      </c>
      <c r="B38" s="31">
        <f>+Sommaire!A44</f>
        <v>5832</v>
      </c>
      <c r="C38" s="31" t="str">
        <f t="shared" si="1"/>
        <v>005832</v>
      </c>
      <c r="D38" t="str">
        <f>+Sommaire!B44</f>
        <v>Marquis Melissa</v>
      </c>
      <c r="E38">
        <v>0</v>
      </c>
      <c r="F38" s="32">
        <v>46060</v>
      </c>
      <c r="M38" s="1">
        <f>+Sommaire!BI44</f>
        <v>0</v>
      </c>
      <c r="N38" s="1">
        <f>+Sommaire!BJ44</f>
        <v>0</v>
      </c>
      <c r="O38" s="1">
        <f>+Sommaire!BO44</f>
        <v>0</v>
      </c>
      <c r="P38" s="1">
        <f>+Sommaire!BP44</f>
        <v>0</v>
      </c>
    </row>
    <row r="39" spans="1:16" x14ac:dyDescent="0.2">
      <c r="A39" s="25">
        <v>8643</v>
      </c>
      <c r="B39" s="31">
        <f>+Sommaire!A45</f>
        <v>4250</v>
      </c>
      <c r="C39" s="31" t="str">
        <f t="shared" si="1"/>
        <v>004250</v>
      </c>
      <c r="D39" t="str">
        <f>+Sommaire!B45</f>
        <v>Milovic Dragan</v>
      </c>
      <c r="E39">
        <v>0</v>
      </c>
      <c r="F39" s="32">
        <v>46060</v>
      </c>
      <c r="M39" s="1">
        <f>+Sommaire!BI45</f>
        <v>12449.689999999997</v>
      </c>
      <c r="N39" s="1">
        <f>+Sommaire!BJ45</f>
        <v>1241</v>
      </c>
      <c r="O39" s="1">
        <f>+Sommaire!BO45</f>
        <v>1241</v>
      </c>
      <c r="P39" s="1">
        <f>+Sommaire!BP45</f>
        <v>0</v>
      </c>
    </row>
    <row r="40" spans="1:16" x14ac:dyDescent="0.2">
      <c r="A40" s="25">
        <v>8643</v>
      </c>
      <c r="B40" s="31">
        <f>+Sommaire!A46</f>
        <v>4920</v>
      </c>
      <c r="C40" s="31" t="str">
        <f t="shared" si="1"/>
        <v>004920</v>
      </c>
      <c r="D40" t="str">
        <f>+Sommaire!B46</f>
        <v>Nadeau Caroline</v>
      </c>
      <c r="E40">
        <v>0</v>
      </c>
      <c r="F40" s="32">
        <v>46060</v>
      </c>
      <c r="M40" s="1">
        <f>+Sommaire!BI46</f>
        <v>0</v>
      </c>
      <c r="N40" s="1">
        <f>+Sommaire!BJ46</f>
        <v>0</v>
      </c>
      <c r="O40" s="1">
        <f>+Sommaire!BO46</f>
        <v>0</v>
      </c>
      <c r="P40" s="1">
        <f>+Sommaire!BP46</f>
        <v>0</v>
      </c>
    </row>
    <row r="41" spans="1:16" x14ac:dyDescent="0.2">
      <c r="A41" s="25">
        <v>8643</v>
      </c>
      <c r="B41" s="31">
        <f>+Sommaire!A47</f>
        <v>3834</v>
      </c>
      <c r="C41" s="31" t="str">
        <f t="shared" si="1"/>
        <v>003834</v>
      </c>
      <c r="D41" t="str">
        <f>+Sommaire!B47</f>
        <v>Nadeau Isabelle</v>
      </c>
      <c r="E41">
        <v>0</v>
      </c>
      <c r="F41" s="32">
        <v>46060</v>
      </c>
      <c r="M41" s="1">
        <f>+Sommaire!BI47</f>
        <v>0</v>
      </c>
      <c r="N41" s="1">
        <f>+Sommaire!BJ47</f>
        <v>0</v>
      </c>
      <c r="O41" s="1">
        <f>+Sommaire!BO47</f>
        <v>0</v>
      </c>
      <c r="P41" s="1">
        <f>+Sommaire!BP47</f>
        <v>0</v>
      </c>
    </row>
    <row r="42" spans="1:16" x14ac:dyDescent="0.2">
      <c r="A42" s="25">
        <v>8643</v>
      </c>
      <c r="B42" s="31">
        <f>+Sommaire!A48</f>
        <v>5194</v>
      </c>
      <c r="C42" s="31" t="str">
        <f t="shared" si="1"/>
        <v>005194</v>
      </c>
      <c r="D42" t="str">
        <f>+Sommaire!B48</f>
        <v>Oyan Raffi</v>
      </c>
      <c r="E42">
        <v>0</v>
      </c>
      <c r="F42" s="32">
        <v>46060</v>
      </c>
      <c r="M42" s="1">
        <f>+Sommaire!BI48</f>
        <v>10269.290000000001</v>
      </c>
      <c r="N42" s="1">
        <f>+Sommaire!BJ48</f>
        <v>1023</v>
      </c>
      <c r="O42" s="1">
        <f>+Sommaire!BO48</f>
        <v>1023</v>
      </c>
      <c r="P42" s="1">
        <f>+Sommaire!BP48</f>
        <v>0</v>
      </c>
    </row>
    <row r="43" spans="1:16" x14ac:dyDescent="0.2">
      <c r="A43" s="25">
        <v>8643</v>
      </c>
      <c r="B43" s="31">
        <f>+Sommaire!A49</f>
        <v>4892</v>
      </c>
      <c r="C43" s="31" t="str">
        <f t="shared" si="1"/>
        <v>004892</v>
      </c>
      <c r="D43" t="str">
        <f>+Sommaire!B49</f>
        <v>Quagliarielle Claudia</v>
      </c>
      <c r="E43">
        <v>0</v>
      </c>
      <c r="F43" s="32">
        <v>46060</v>
      </c>
      <c r="M43" s="1">
        <f>+Sommaire!BI49</f>
        <v>0</v>
      </c>
      <c r="N43" s="1">
        <f>+Sommaire!BJ49</f>
        <v>0</v>
      </c>
      <c r="O43" s="1">
        <f>+Sommaire!BO49</f>
        <v>0</v>
      </c>
      <c r="P43" s="1">
        <f>+Sommaire!BP49</f>
        <v>0</v>
      </c>
    </row>
    <row r="44" spans="1:16" x14ac:dyDescent="0.2">
      <c r="A44" s="25">
        <v>8643</v>
      </c>
      <c r="B44" s="31">
        <f>+Sommaire!A50</f>
        <v>93399</v>
      </c>
      <c r="C44" s="31" t="str">
        <f t="shared" si="1"/>
        <v>093399</v>
      </c>
      <c r="D44" t="str">
        <f>+Sommaire!B50</f>
        <v>Quesnel Sébastien</v>
      </c>
      <c r="E44">
        <v>0</v>
      </c>
      <c r="F44" s="32">
        <v>46060</v>
      </c>
      <c r="M44" s="1">
        <f>+Sommaire!BI50</f>
        <v>0</v>
      </c>
      <c r="N44" s="1">
        <f>+Sommaire!BJ50</f>
        <v>0</v>
      </c>
      <c r="O44" s="1">
        <f>+Sommaire!BO50</f>
        <v>0</v>
      </c>
      <c r="P44" s="1">
        <f>+Sommaire!BP50</f>
        <v>0</v>
      </c>
    </row>
    <row r="45" spans="1:16" x14ac:dyDescent="0.2">
      <c r="A45" s="25">
        <v>8643</v>
      </c>
      <c r="B45" s="31">
        <f>+Sommaire!A51</f>
        <v>5795</v>
      </c>
      <c r="C45" s="31" t="str">
        <f t="shared" si="1"/>
        <v>005795</v>
      </c>
      <c r="D45" t="str">
        <f>+Sommaire!B51</f>
        <v>Rancourt Adelaide</v>
      </c>
      <c r="E45">
        <v>0</v>
      </c>
      <c r="F45" s="32">
        <v>46060</v>
      </c>
      <c r="M45" s="1">
        <f>+Sommaire!BI51</f>
        <v>0</v>
      </c>
      <c r="N45" s="1">
        <f>+Sommaire!BJ51</f>
        <v>0</v>
      </c>
      <c r="O45" s="1">
        <f>+Sommaire!BO51</f>
        <v>0</v>
      </c>
      <c r="P45" s="1">
        <f>+Sommaire!BP51</f>
        <v>0</v>
      </c>
    </row>
    <row r="46" spans="1:16" x14ac:dyDescent="0.2">
      <c r="A46" s="25">
        <v>8643</v>
      </c>
      <c r="B46" s="31">
        <f>+Sommaire!A52</f>
        <v>287</v>
      </c>
      <c r="C46" s="31" t="str">
        <f t="shared" si="1"/>
        <v>000287</v>
      </c>
      <c r="D46" t="str">
        <f>+Sommaire!B52</f>
        <v>Rivet Stephane</v>
      </c>
      <c r="E46">
        <v>0</v>
      </c>
      <c r="F46" s="32">
        <v>46060</v>
      </c>
      <c r="M46" s="1">
        <f>+Sommaire!BI52</f>
        <v>0</v>
      </c>
      <c r="N46" s="1">
        <f>+Sommaire!BJ52</f>
        <v>0</v>
      </c>
      <c r="O46" s="1">
        <f>+Sommaire!BO52</f>
        <v>0</v>
      </c>
      <c r="P46" s="1">
        <f>+Sommaire!BP52</f>
        <v>0</v>
      </c>
    </row>
    <row r="47" spans="1:16" x14ac:dyDescent="0.2">
      <c r="A47" s="25">
        <v>8643</v>
      </c>
      <c r="B47" s="31">
        <f>+Sommaire!A53</f>
        <v>5775</v>
      </c>
      <c r="C47" s="31" t="str">
        <f t="shared" si="1"/>
        <v>005775</v>
      </c>
      <c r="D47" t="str">
        <f>+Sommaire!B53</f>
        <v>Roy Florence</v>
      </c>
      <c r="E47">
        <v>0</v>
      </c>
      <c r="F47" s="32">
        <v>46060</v>
      </c>
      <c r="M47" s="1">
        <f>+Sommaire!BI53</f>
        <v>0</v>
      </c>
      <c r="N47" s="1">
        <f>+Sommaire!BJ53</f>
        <v>0</v>
      </c>
      <c r="O47" s="1">
        <f>+Sommaire!BO53</f>
        <v>0</v>
      </c>
      <c r="P47" s="1">
        <f>+Sommaire!BP53</f>
        <v>0</v>
      </c>
    </row>
    <row r="48" spans="1:16" x14ac:dyDescent="0.2">
      <c r="A48" s="25">
        <v>8643</v>
      </c>
      <c r="B48" s="31">
        <f>+Sommaire!A54</f>
        <v>92899</v>
      </c>
      <c r="C48" s="31" t="str">
        <f t="shared" si="1"/>
        <v>092899</v>
      </c>
      <c r="D48" t="str">
        <f>+Sommaire!B54</f>
        <v>Rodrigue Jean</v>
      </c>
      <c r="E48">
        <v>0</v>
      </c>
      <c r="F48" s="32">
        <v>46060</v>
      </c>
      <c r="M48" s="1">
        <f>+Sommaire!BI54</f>
        <v>0</v>
      </c>
      <c r="N48" s="1">
        <f>+Sommaire!BJ54</f>
        <v>0</v>
      </c>
      <c r="O48" s="1">
        <f>+Sommaire!BO54</f>
        <v>0</v>
      </c>
      <c r="P48" s="1">
        <f>+Sommaire!BP54</f>
        <v>0</v>
      </c>
    </row>
    <row r="49" spans="1:16" x14ac:dyDescent="0.2">
      <c r="A49" s="25">
        <v>8643</v>
      </c>
      <c r="B49" s="31">
        <f>+Sommaire!A55</f>
        <v>92835</v>
      </c>
      <c r="C49" s="31" t="str">
        <f t="shared" si="1"/>
        <v>092835</v>
      </c>
      <c r="D49" t="str">
        <f>+Sommaire!B55</f>
        <v>Rousseau Nathalie</v>
      </c>
      <c r="E49">
        <v>0</v>
      </c>
      <c r="F49" s="32">
        <v>46060</v>
      </c>
      <c r="M49" s="1">
        <f>+Sommaire!BI55</f>
        <v>0</v>
      </c>
      <c r="N49" s="1">
        <f>+Sommaire!BJ55</f>
        <v>0</v>
      </c>
      <c r="O49" s="1">
        <f>+Sommaire!BO55</f>
        <v>0</v>
      </c>
      <c r="P49" s="1">
        <f>+Sommaire!BP55</f>
        <v>0</v>
      </c>
    </row>
    <row r="50" spans="1:16" x14ac:dyDescent="0.2">
      <c r="A50" s="25">
        <v>8643</v>
      </c>
      <c r="B50" s="31">
        <f>+Sommaire!A56</f>
        <v>5858</v>
      </c>
      <c r="C50" s="31" t="str">
        <f t="shared" si="1"/>
        <v>005858</v>
      </c>
      <c r="D50" t="str">
        <f>+Sommaire!B56</f>
        <v>Samedy Jonathan</v>
      </c>
      <c r="E50">
        <v>0</v>
      </c>
      <c r="F50" s="32">
        <v>46060</v>
      </c>
      <c r="M50" s="1">
        <f>+Sommaire!BI56</f>
        <v>2180.52</v>
      </c>
      <c r="N50" s="1">
        <f>+Sommaire!BJ56</f>
        <v>217.68</v>
      </c>
      <c r="O50" s="1">
        <f>+Sommaire!BO56</f>
        <v>217.68</v>
      </c>
      <c r="P50" s="1">
        <f>+Sommaire!BP56</f>
        <v>0</v>
      </c>
    </row>
    <row r="51" spans="1:16" x14ac:dyDescent="0.2">
      <c r="A51" s="25">
        <v>8643</v>
      </c>
      <c r="B51" s="31">
        <f>+Sommaire!A57</f>
        <v>5586</v>
      </c>
      <c r="C51" s="31" t="str">
        <f t="shared" si="1"/>
        <v>005586</v>
      </c>
      <c r="D51" t="str">
        <f>+Sommaire!B57</f>
        <v>Sauro Cynthia</v>
      </c>
      <c r="E51">
        <v>0</v>
      </c>
      <c r="F51" s="32">
        <v>46060</v>
      </c>
      <c r="M51" s="1">
        <f>+Sommaire!BI57</f>
        <v>0</v>
      </c>
      <c r="N51" s="1">
        <f>+Sommaire!BJ57</f>
        <v>0</v>
      </c>
      <c r="O51" s="1">
        <f>+Sommaire!BO57</f>
        <v>0</v>
      </c>
      <c r="P51" s="1">
        <f>+Sommaire!BP57</f>
        <v>0</v>
      </c>
    </row>
    <row r="52" spans="1:16" ht="12" customHeight="1" x14ac:dyDescent="0.2">
      <c r="A52" s="25">
        <v>8643</v>
      </c>
      <c r="B52" s="31">
        <f>+Sommaire!A58</f>
        <v>93614</v>
      </c>
      <c r="C52" s="31" t="str">
        <f t="shared" si="1"/>
        <v>093614</v>
      </c>
      <c r="D52" t="str">
        <f>+Sommaire!B58</f>
        <v>Somera Sem</v>
      </c>
      <c r="E52">
        <v>0</v>
      </c>
      <c r="F52" s="32">
        <v>46060</v>
      </c>
      <c r="M52" s="1">
        <f>+Sommaire!BI58</f>
        <v>0</v>
      </c>
      <c r="N52" s="1">
        <f>+Sommaire!BJ58</f>
        <v>0</v>
      </c>
      <c r="O52" s="1">
        <f>+Sommaire!BO58</f>
        <v>0</v>
      </c>
      <c r="P52" s="1">
        <f>+Sommaire!BP58</f>
        <v>0</v>
      </c>
    </row>
    <row r="53" spans="1:16" x14ac:dyDescent="0.2">
      <c r="A53" s="25">
        <v>8643</v>
      </c>
      <c r="B53" s="31">
        <f>+Sommaire!A59</f>
        <v>93127</v>
      </c>
      <c r="C53" s="31" t="str">
        <f t="shared" si="1"/>
        <v>093127</v>
      </c>
      <c r="D53" t="str">
        <f>+Sommaire!B59</f>
        <v>Szabo Youri</v>
      </c>
      <c r="E53">
        <v>0</v>
      </c>
      <c r="F53" s="32">
        <v>46060</v>
      </c>
      <c r="M53" s="1">
        <f>+Sommaire!BI59</f>
        <v>0</v>
      </c>
      <c r="N53" s="1">
        <f>+Sommaire!BJ59</f>
        <v>0</v>
      </c>
      <c r="O53" s="1">
        <f>+Sommaire!BO59</f>
        <v>0</v>
      </c>
      <c r="P53" s="1">
        <f>+Sommaire!BP59</f>
        <v>0</v>
      </c>
    </row>
    <row r="54" spans="1:16" x14ac:dyDescent="0.2">
      <c r="A54" s="25">
        <v>8643</v>
      </c>
      <c r="B54" s="31">
        <f>+Sommaire!A60</f>
        <v>3886</v>
      </c>
      <c r="C54" s="31" t="str">
        <f t="shared" si="1"/>
        <v>003886</v>
      </c>
      <c r="D54" t="str">
        <f>+Sommaire!B60</f>
        <v>Thifault Alexandre</v>
      </c>
      <c r="E54">
        <v>0</v>
      </c>
      <c r="F54" s="32">
        <v>46060</v>
      </c>
      <c r="M54" s="1">
        <f>+Sommaire!BI60</f>
        <v>0</v>
      </c>
      <c r="N54" s="1">
        <f>+Sommaire!BJ60</f>
        <v>0</v>
      </c>
      <c r="O54" s="1">
        <f>+Sommaire!BO60</f>
        <v>0</v>
      </c>
      <c r="P54" s="1">
        <f>+Sommaire!BP60</f>
        <v>0</v>
      </c>
    </row>
    <row r="55" spans="1:16" x14ac:dyDescent="0.2">
      <c r="A55" s="25">
        <v>8643</v>
      </c>
      <c r="B55" s="31">
        <f>+Sommaire!A61</f>
        <v>91714</v>
      </c>
      <c r="C55" s="31" t="str">
        <f t="shared" si="1"/>
        <v>091714</v>
      </c>
      <c r="D55" t="str">
        <f>+Sommaire!B61</f>
        <v>Tourangeau Carl</v>
      </c>
      <c r="E55">
        <v>0</v>
      </c>
      <c r="F55" s="32">
        <v>46060</v>
      </c>
      <c r="M55" s="1">
        <f>+Sommaire!BI61</f>
        <v>319.58</v>
      </c>
      <c r="N55" s="1">
        <f>+Sommaire!BJ61</f>
        <v>31.7</v>
      </c>
      <c r="O55" s="1">
        <f>+Sommaire!BO61</f>
        <v>31.7</v>
      </c>
      <c r="P55" s="1">
        <f>+Sommaire!BP61</f>
        <v>0</v>
      </c>
    </row>
    <row r="56" spans="1:16" x14ac:dyDescent="0.2">
      <c r="A56" s="25">
        <v>8643</v>
      </c>
      <c r="B56" s="31">
        <f>+Sommaire!A62</f>
        <v>4675</v>
      </c>
      <c r="C56" s="31" t="str">
        <f t="shared" si="1"/>
        <v>004675</v>
      </c>
      <c r="D56" t="str">
        <f>+Sommaire!B62</f>
        <v>Tremblay Sandra</v>
      </c>
      <c r="E56">
        <v>0</v>
      </c>
      <c r="F56" s="32">
        <v>46060</v>
      </c>
      <c r="M56" s="1">
        <f>+Sommaire!BI62</f>
        <v>11782.01</v>
      </c>
      <c r="N56" s="1">
        <f>+Sommaire!BJ62</f>
        <v>1175</v>
      </c>
      <c r="O56" s="1">
        <f>+Sommaire!BO62</f>
        <v>1175</v>
      </c>
      <c r="P56" s="1">
        <f>+Sommaire!BP62</f>
        <v>0</v>
      </c>
    </row>
    <row r="57" spans="1:16" x14ac:dyDescent="0.2">
      <c r="A57" s="25">
        <v>8643</v>
      </c>
      <c r="B57" s="31">
        <f>+Sommaire!A63</f>
        <v>5463</v>
      </c>
      <c r="C57" s="31" t="str">
        <f t="shared" si="1"/>
        <v>005463</v>
      </c>
      <c r="D57" t="str">
        <f>+Sommaire!B63</f>
        <v>Tran Cuong Quac</v>
      </c>
      <c r="E57">
        <v>0</v>
      </c>
      <c r="F57" s="32">
        <v>46060</v>
      </c>
      <c r="M57" s="1">
        <f>+Sommaire!BI63</f>
        <v>0</v>
      </c>
      <c r="N57" s="1">
        <f>+Sommaire!BJ63</f>
        <v>0</v>
      </c>
      <c r="O57" s="1">
        <f>+Sommaire!BO63</f>
        <v>0</v>
      </c>
      <c r="P57" s="1">
        <f>+Sommaire!BP63</f>
        <v>0</v>
      </c>
    </row>
    <row r="58" spans="1:16" x14ac:dyDescent="0.2">
      <c r="A58" s="25">
        <v>8644</v>
      </c>
      <c r="B58" s="31">
        <f>+Sommaire!A64</f>
        <v>5894</v>
      </c>
      <c r="C58" s="31" t="str">
        <f t="shared" ref="C58:C59" si="2">RIGHT(CONCATENATE("000",B58),6)</f>
        <v>005894</v>
      </c>
      <c r="D58" t="str">
        <f>+Sommaire!B64</f>
        <v xml:space="preserve">Veilleux Sebastien </v>
      </c>
      <c r="E58">
        <v>1</v>
      </c>
      <c r="F58" s="32">
        <v>46060</v>
      </c>
      <c r="M58" s="1">
        <f>+Sommaire!BI64</f>
        <v>0</v>
      </c>
      <c r="N58" s="1">
        <f>+Sommaire!BJ64</f>
        <v>0</v>
      </c>
      <c r="O58" s="1">
        <f>+Sommaire!BO64</f>
        <v>0</v>
      </c>
      <c r="P58" s="1">
        <f>+Sommaire!BP64</f>
        <v>0</v>
      </c>
    </row>
    <row r="59" spans="1:16" x14ac:dyDescent="0.2">
      <c r="A59" s="25">
        <v>8645</v>
      </c>
      <c r="B59" s="31">
        <f>+Sommaire!A65</f>
        <v>5852</v>
      </c>
      <c r="C59" s="31" t="str">
        <f t="shared" si="2"/>
        <v>005852</v>
      </c>
      <c r="D59" t="str">
        <f>+Sommaire!B65</f>
        <v>Vesnaver, Sarah</v>
      </c>
      <c r="E59">
        <v>2</v>
      </c>
      <c r="F59" s="32">
        <v>46060</v>
      </c>
      <c r="M59" s="1">
        <f>+Sommaire!BI65</f>
        <v>0</v>
      </c>
      <c r="N59" s="1">
        <f>+Sommaire!BJ65</f>
        <v>0</v>
      </c>
      <c r="O59" s="1">
        <f>+Sommaire!BO65</f>
        <v>0</v>
      </c>
      <c r="P59" s="1">
        <f>+Sommaire!BP65</f>
        <v>0</v>
      </c>
    </row>
    <row r="60" spans="1:16" x14ac:dyDescent="0.2">
      <c r="A60" s="25">
        <v>8646</v>
      </c>
      <c r="B60" s="31">
        <f>+Sommaire!A66</f>
        <v>3977</v>
      </c>
      <c r="C60" s="31" t="str">
        <f t="shared" ref="C60" si="3">RIGHT(CONCATENATE("000",B60),6)</f>
        <v>003977</v>
      </c>
      <c r="D60" t="str">
        <f>+Sommaire!B66</f>
        <v>Yelle Caroline</v>
      </c>
      <c r="E60">
        <v>3</v>
      </c>
      <c r="F60" s="32">
        <v>46060</v>
      </c>
      <c r="M60" s="1">
        <f>+Sommaire!BI66</f>
        <v>0</v>
      </c>
      <c r="N60" s="1">
        <f>+Sommaire!BJ66</f>
        <v>0</v>
      </c>
      <c r="O60" s="1">
        <f>+Sommaire!BO66</f>
        <v>0</v>
      </c>
      <c r="P60" s="1">
        <f>+Sommaire!BP66</f>
        <v>0</v>
      </c>
    </row>
    <row r="61" spans="1:16" x14ac:dyDescent="0.2">
      <c r="A61" s="13"/>
      <c r="B61" s="70"/>
      <c r="C61" s="70"/>
      <c r="D61" s="70"/>
      <c r="E61" s="70"/>
      <c r="F61" s="70"/>
      <c r="M61" s="71">
        <f>SUBTOTAL(9,M3:M60)</f>
        <v>121232.95</v>
      </c>
      <c r="N61" s="71">
        <f t="shared" ref="N61:P61" si="4">SUBTOTAL(9,N3:N60)</f>
        <v>12278.860000000002</v>
      </c>
      <c r="O61" s="71">
        <f t="shared" si="4"/>
        <v>12278.860000000002</v>
      </c>
      <c r="P61" s="71">
        <f t="shared" si="4"/>
        <v>0</v>
      </c>
    </row>
    <row r="62" spans="1:16" x14ac:dyDescent="0.2">
      <c r="A62" s="13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8">
        <f>+Sommaire!BI68</f>
        <v>121232.95</v>
      </c>
      <c r="N62" s="28">
        <f>+Sommaire!BJ68</f>
        <v>12278.860000000002</v>
      </c>
      <c r="O62" s="28">
        <f>+Sommaire!BO68</f>
        <v>12278.860000000002</v>
      </c>
      <c r="P62" s="28">
        <f>+Sommaire!BP68</f>
        <v>0</v>
      </c>
    </row>
    <row r="63" spans="1:16" x14ac:dyDescent="0.2">
      <c r="F63" t="s">
        <v>78</v>
      </c>
      <c r="M63" s="1">
        <f>+M61-M62</f>
        <v>0</v>
      </c>
      <c r="N63" s="1">
        <f t="shared" ref="N63:P63" si="5">+N61-N62</f>
        <v>0</v>
      </c>
      <c r="O63" s="1">
        <f t="shared" si="5"/>
        <v>0</v>
      </c>
      <c r="P63" s="1">
        <f t="shared" si="5"/>
        <v>0</v>
      </c>
    </row>
  </sheetData>
  <autoFilter ref="A1:P62" xr:uid="{00000000-0009-0000-0000-000000000000}"/>
  <phoneticPr fontId="3" type="noConversion"/>
  <pageMargins left="0.78740157499999996" right="0.78740157499999996" top="0.984251969" bottom="0.984251969" header="0.4921259845" footer="0.4921259845"/>
  <pageSetup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BY95"/>
  <sheetViews>
    <sheetView tabSelected="1" zoomScale="70" zoomScaleNormal="70" workbookViewId="0">
      <pane xSplit="2" ySplit="6" topLeftCell="AW29" activePane="bottomRight" state="frozen"/>
      <selection pane="topRight" activeCell="C1" sqref="C1"/>
      <selection pane="bottomLeft" activeCell="A7" sqref="A7"/>
      <selection pane="bottomRight" activeCell="BG75" sqref="BG75"/>
    </sheetView>
  </sheetViews>
  <sheetFormatPr defaultColWidth="10.28515625" defaultRowHeight="12.75" x14ac:dyDescent="0.2"/>
  <cols>
    <col min="1" max="1" width="9.28515625" style="13" customWidth="1"/>
    <col min="2" max="2" width="27.140625" customWidth="1"/>
    <col min="3" max="3" width="14.28515625" customWidth="1"/>
    <col min="4" max="4" width="15.140625" bestFit="1" customWidth="1"/>
    <col min="5" max="5" width="16.140625" style="8" bestFit="1" customWidth="1"/>
    <col min="6" max="6" width="6.85546875" style="11" customWidth="1"/>
    <col min="7" max="7" width="6.85546875" customWidth="1"/>
    <col min="8" max="8" width="18.5703125" customWidth="1"/>
    <col min="9" max="9" width="14" style="8" customWidth="1"/>
    <col min="10" max="10" width="6.85546875" style="11" customWidth="1"/>
    <col min="11" max="11" width="6.85546875" customWidth="1"/>
    <col min="12" max="12" width="16.7109375" customWidth="1"/>
    <col min="13" max="13" width="11.5703125" style="8" customWidth="1"/>
    <col min="14" max="14" width="6.85546875" style="11" customWidth="1"/>
    <col min="15" max="15" width="9.28515625" customWidth="1"/>
    <col min="16" max="16" width="16" customWidth="1"/>
    <col min="17" max="17" width="12.28515625" style="8" customWidth="1"/>
    <col min="18" max="18" width="6.85546875" style="11" customWidth="1"/>
    <col min="19" max="19" width="6.85546875" customWidth="1"/>
    <col min="20" max="20" width="15.7109375" customWidth="1"/>
    <col min="21" max="21" width="9.7109375" style="8" customWidth="1"/>
    <col min="22" max="22" width="6.85546875" style="11" customWidth="1"/>
    <col min="23" max="23" width="6.85546875" customWidth="1"/>
    <col min="24" max="24" width="25" customWidth="1"/>
    <col min="25" max="25" width="11.140625" style="8" customWidth="1"/>
    <col min="26" max="26" width="6.85546875" style="11" customWidth="1"/>
    <col min="27" max="27" width="8.7109375" customWidth="1"/>
    <col min="28" max="28" width="17.7109375" customWidth="1"/>
    <col min="29" max="29" width="12.28515625" style="8" customWidth="1"/>
    <col min="30" max="30" width="7.42578125" style="11" customWidth="1"/>
    <col min="31" max="31" width="6.85546875" customWidth="1"/>
    <col min="32" max="32" width="14.5703125" customWidth="1"/>
    <col min="33" max="33" width="12.28515625" style="8" customWidth="1"/>
    <col min="34" max="34" width="24.140625" style="11" customWidth="1"/>
    <col min="35" max="35" width="6.85546875" customWidth="1"/>
    <col min="36" max="36" width="16.140625" customWidth="1"/>
    <col min="37" max="37" width="13.42578125" style="8" customWidth="1"/>
    <col min="38" max="38" width="6.85546875" style="11" customWidth="1"/>
    <col min="39" max="39" width="6.85546875" customWidth="1"/>
    <col min="40" max="40" width="15.5703125" style="15" customWidth="1"/>
    <col min="41" max="41" width="10.7109375" style="8" customWidth="1"/>
    <col min="42" max="42" width="6.85546875" style="11" customWidth="1"/>
    <col min="43" max="43" width="6.85546875" customWidth="1"/>
    <col min="44" max="44" width="14" style="18" customWidth="1"/>
    <col min="45" max="45" width="11.5703125" style="8" customWidth="1"/>
    <col min="46" max="46" width="12.7109375" style="11" customWidth="1"/>
    <col min="47" max="47" width="9.140625" bestFit="1" customWidth="1"/>
    <col min="48" max="48" width="16.140625" customWidth="1"/>
    <col min="49" max="49" width="13.42578125" style="8" customWidth="1"/>
    <col min="50" max="50" width="6.85546875" style="11" customWidth="1"/>
    <col min="51" max="51" width="6.85546875" customWidth="1"/>
    <col min="52" max="52" width="16.140625" customWidth="1"/>
    <col min="53" max="53" width="13.42578125" style="8" customWidth="1"/>
    <col min="54" max="54" width="6.85546875" style="11" customWidth="1"/>
    <col min="55" max="55" width="6.85546875" customWidth="1"/>
    <col min="56" max="56" width="16.28515625" customWidth="1"/>
    <col min="57" max="57" width="11.42578125" style="8" customWidth="1"/>
    <col min="58" max="58" width="9.85546875" style="11" bestFit="1" customWidth="1"/>
    <col min="59" max="59" width="29.28515625" customWidth="1"/>
    <col min="60" max="60" width="8.42578125" customWidth="1"/>
    <col min="61" max="61" width="14.5703125" bestFit="1" customWidth="1"/>
    <col min="62" max="62" width="16.85546875" customWidth="1"/>
    <col min="63" max="63" width="9.5703125" customWidth="1"/>
    <col min="64" max="64" width="11.140625" customWidth="1"/>
    <col min="65" max="65" width="13" bestFit="1" customWidth="1"/>
    <col min="66" max="66" width="14" customWidth="1"/>
    <col min="67" max="67" width="13" bestFit="1" customWidth="1"/>
    <col min="68" max="68" width="10.140625" bestFit="1" customWidth="1"/>
    <col min="69" max="69" width="10.7109375" bestFit="1" customWidth="1"/>
  </cols>
  <sheetData>
    <row r="1" spans="1:77" ht="17.25" customHeight="1" x14ac:dyDescent="0.2">
      <c r="A1" s="12" t="s">
        <v>0</v>
      </c>
      <c r="B1" s="12"/>
      <c r="C1" s="2"/>
      <c r="D1" s="2"/>
      <c r="E1" s="6"/>
      <c r="F1" s="9"/>
      <c r="G1" s="2"/>
      <c r="H1" s="2"/>
      <c r="I1" s="6"/>
      <c r="J1" s="9"/>
      <c r="K1" s="2"/>
      <c r="L1" s="2"/>
      <c r="M1" s="6"/>
      <c r="N1" s="9"/>
      <c r="O1" s="2"/>
      <c r="P1" s="2"/>
      <c r="Q1" s="6"/>
      <c r="R1" s="9"/>
      <c r="S1" s="2"/>
      <c r="T1" s="2"/>
      <c r="U1" s="6"/>
      <c r="V1" s="9"/>
      <c r="W1" s="2"/>
      <c r="X1" s="2"/>
      <c r="Y1" s="6"/>
      <c r="Z1" s="9"/>
      <c r="AA1" s="2"/>
      <c r="AB1" s="2"/>
      <c r="AC1" s="6"/>
      <c r="AD1" s="9"/>
      <c r="AE1" s="2"/>
      <c r="AF1" s="2"/>
      <c r="AG1" s="6"/>
      <c r="AH1" s="9"/>
      <c r="AI1" s="2"/>
      <c r="AJ1" s="2"/>
      <c r="AK1" s="6"/>
      <c r="AL1" s="9"/>
      <c r="AM1" s="2"/>
      <c r="AN1" s="14"/>
      <c r="AO1" s="6"/>
      <c r="AP1" s="9"/>
      <c r="AQ1" s="2"/>
      <c r="AR1" s="16"/>
      <c r="AS1" s="6"/>
      <c r="AT1" s="9"/>
      <c r="AU1" s="2"/>
      <c r="AV1" s="2"/>
      <c r="AW1" s="6"/>
      <c r="AX1" s="9"/>
      <c r="AY1" s="2"/>
      <c r="AZ1" s="2"/>
      <c r="BA1" s="6"/>
      <c r="BB1" s="9"/>
      <c r="BC1" s="2"/>
      <c r="BD1" s="2"/>
      <c r="BE1" s="6"/>
      <c r="BF1" s="9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77" ht="19.5" customHeight="1" x14ac:dyDescent="0.2">
      <c r="A2" s="12" t="s">
        <v>1</v>
      </c>
      <c r="B2" s="12"/>
      <c r="C2" s="4"/>
      <c r="D2" s="4"/>
      <c r="E2" s="7"/>
      <c r="F2" s="10"/>
      <c r="G2" s="4"/>
      <c r="H2" s="4"/>
      <c r="I2" s="7"/>
      <c r="J2" s="10"/>
      <c r="K2" s="4"/>
      <c r="L2" s="4"/>
      <c r="M2" s="7"/>
      <c r="N2" s="10"/>
      <c r="O2" s="4"/>
      <c r="P2" s="4"/>
      <c r="Q2" s="7"/>
      <c r="R2" s="10"/>
      <c r="S2" s="4"/>
      <c r="T2" s="4"/>
      <c r="U2" s="7"/>
      <c r="V2" s="10"/>
      <c r="W2" s="4"/>
      <c r="X2" s="4"/>
      <c r="Y2" s="7"/>
      <c r="Z2" s="10"/>
      <c r="AA2" s="4"/>
      <c r="AB2" s="4"/>
      <c r="AC2" s="7"/>
      <c r="AD2" s="10"/>
      <c r="AE2" s="4"/>
      <c r="AF2" s="4"/>
      <c r="AG2" s="7"/>
      <c r="AH2" s="10"/>
      <c r="AI2" s="4"/>
      <c r="AJ2" s="4"/>
      <c r="AK2" s="7"/>
      <c r="AL2" s="10"/>
      <c r="AM2" s="4"/>
      <c r="AN2" s="4"/>
      <c r="AO2" s="7"/>
      <c r="AP2" s="10"/>
      <c r="AQ2" s="4"/>
      <c r="AR2" s="17"/>
      <c r="AS2" s="7"/>
      <c r="AT2" s="10"/>
      <c r="AU2" s="4"/>
      <c r="AV2" s="4"/>
      <c r="AW2" s="7"/>
      <c r="AX2" s="10"/>
      <c r="AY2" s="4"/>
      <c r="AZ2" s="4"/>
      <c r="BA2" s="7"/>
      <c r="BB2" s="10"/>
      <c r="BC2" s="4"/>
      <c r="BD2" s="4"/>
      <c r="BE2" s="7"/>
      <c r="BF2" s="10"/>
      <c r="BG2" s="4"/>
      <c r="BH2" s="4"/>
      <c r="BI2" s="4"/>
      <c r="BJ2" s="4"/>
      <c r="BK2" s="4"/>
      <c r="BL2" s="4"/>
      <c r="BM2" s="4"/>
      <c r="BN2" s="4"/>
      <c r="BO2" s="4"/>
      <c r="BP2" s="4"/>
    </row>
    <row r="4" spans="1:77" x14ac:dyDescent="0.2">
      <c r="A4" s="13" t="s">
        <v>2</v>
      </c>
      <c r="C4" t="s">
        <v>3</v>
      </c>
      <c r="BH4">
        <v>45990</v>
      </c>
      <c r="BI4" s="5"/>
      <c r="BJ4" s="3"/>
      <c r="BK4" s="5"/>
      <c r="BL4" s="3">
        <f>+BD5</f>
        <v>46060</v>
      </c>
    </row>
    <row r="5" spans="1:77" ht="18" x14ac:dyDescent="0.25">
      <c r="A5" s="33"/>
      <c r="B5" s="34"/>
      <c r="C5" s="34"/>
      <c r="D5" s="113">
        <v>46047</v>
      </c>
      <c r="E5" s="113"/>
      <c r="F5" s="113"/>
      <c r="G5" s="114"/>
      <c r="H5" s="113">
        <f>+D5+1</f>
        <v>46048</v>
      </c>
      <c r="I5" s="113"/>
      <c r="J5" s="113"/>
      <c r="K5" s="114"/>
      <c r="L5" s="113">
        <f>1+H5</f>
        <v>46049</v>
      </c>
      <c r="M5" s="113"/>
      <c r="N5" s="113"/>
      <c r="O5" s="114"/>
      <c r="P5" s="113">
        <f>1+L5</f>
        <v>46050</v>
      </c>
      <c r="Q5" s="113"/>
      <c r="R5" s="113"/>
      <c r="S5" s="114"/>
      <c r="T5" s="113">
        <f>1+P5</f>
        <v>46051</v>
      </c>
      <c r="U5" s="113"/>
      <c r="V5" s="113"/>
      <c r="W5" s="114"/>
      <c r="X5" s="113">
        <f>1+T5</f>
        <v>46052</v>
      </c>
      <c r="Y5" s="113"/>
      <c r="Z5" s="113"/>
      <c r="AA5" s="114"/>
      <c r="AB5" s="113">
        <f>1+X5</f>
        <v>46053</v>
      </c>
      <c r="AC5" s="113"/>
      <c r="AD5" s="113"/>
      <c r="AE5" s="114"/>
      <c r="AF5" s="113">
        <f>AB5+1</f>
        <v>46054</v>
      </c>
      <c r="AG5" s="113"/>
      <c r="AH5" s="113"/>
      <c r="AI5" s="114"/>
      <c r="AJ5" s="113">
        <f>1+AF5</f>
        <v>46055</v>
      </c>
      <c r="AK5" s="113"/>
      <c r="AL5" s="113"/>
      <c r="AM5" s="114"/>
      <c r="AN5" s="113">
        <f>1+AJ5</f>
        <v>46056</v>
      </c>
      <c r="AO5" s="113"/>
      <c r="AP5" s="113"/>
      <c r="AQ5" s="114"/>
      <c r="AR5" s="113">
        <f>1+AN5</f>
        <v>46057</v>
      </c>
      <c r="AS5" s="113"/>
      <c r="AT5" s="113"/>
      <c r="AU5" s="114"/>
      <c r="AV5" s="113">
        <f>1+AR5</f>
        <v>46058</v>
      </c>
      <c r="AW5" s="113"/>
      <c r="AX5" s="113"/>
      <c r="AY5" s="114"/>
      <c r="AZ5" s="113">
        <f>1+AV5</f>
        <v>46059</v>
      </c>
      <c r="BA5" s="113"/>
      <c r="BB5" s="113"/>
      <c r="BC5" s="114"/>
      <c r="BD5" s="113">
        <f>1+AZ5</f>
        <v>46060</v>
      </c>
      <c r="BE5" s="113"/>
      <c r="BF5" s="113"/>
      <c r="BG5" s="114"/>
      <c r="BH5" s="35" t="s">
        <v>4</v>
      </c>
      <c r="BI5" s="34" t="s">
        <v>72</v>
      </c>
      <c r="BJ5" s="34" t="s">
        <v>73</v>
      </c>
      <c r="BK5" s="34" t="s">
        <v>74</v>
      </c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</row>
    <row r="6" spans="1:77" ht="72" x14ac:dyDescent="0.25">
      <c r="A6" s="36" t="s">
        <v>18</v>
      </c>
      <c r="B6" s="37" t="s">
        <v>20</v>
      </c>
      <c r="C6" s="37" t="s">
        <v>19</v>
      </c>
      <c r="D6" s="37" t="s">
        <v>4</v>
      </c>
      <c r="E6" s="38" t="s">
        <v>72</v>
      </c>
      <c r="F6" s="39" t="s">
        <v>73</v>
      </c>
      <c r="G6" s="37" t="s">
        <v>74</v>
      </c>
      <c r="H6" s="40" t="s">
        <v>4</v>
      </c>
      <c r="I6" s="38" t="s">
        <v>72</v>
      </c>
      <c r="J6" s="39" t="s">
        <v>73</v>
      </c>
      <c r="K6" s="37" t="s">
        <v>74</v>
      </c>
      <c r="L6" s="40" t="s">
        <v>4</v>
      </c>
      <c r="M6" s="38" t="s">
        <v>72</v>
      </c>
      <c r="N6" s="39" t="s">
        <v>73</v>
      </c>
      <c r="O6" s="37" t="s">
        <v>74</v>
      </c>
      <c r="P6" s="40" t="s">
        <v>4</v>
      </c>
      <c r="Q6" s="38" t="s">
        <v>72</v>
      </c>
      <c r="R6" s="39" t="s">
        <v>73</v>
      </c>
      <c r="S6" s="37" t="s">
        <v>74</v>
      </c>
      <c r="T6" s="40" t="s">
        <v>4</v>
      </c>
      <c r="U6" s="38" t="s">
        <v>72</v>
      </c>
      <c r="V6" s="39" t="s">
        <v>73</v>
      </c>
      <c r="W6" s="37" t="s">
        <v>74</v>
      </c>
      <c r="X6" s="40" t="s">
        <v>4</v>
      </c>
      <c r="Y6" s="38" t="s">
        <v>72</v>
      </c>
      <c r="Z6" s="39" t="s">
        <v>73</v>
      </c>
      <c r="AA6" s="37" t="s">
        <v>74</v>
      </c>
      <c r="AB6" s="40" t="s">
        <v>4</v>
      </c>
      <c r="AC6" s="38" t="s">
        <v>72</v>
      </c>
      <c r="AD6" s="39" t="s">
        <v>73</v>
      </c>
      <c r="AE6" s="37" t="s">
        <v>74</v>
      </c>
      <c r="AF6" s="40" t="s">
        <v>4</v>
      </c>
      <c r="AG6" s="38" t="s">
        <v>72</v>
      </c>
      <c r="AH6" s="39" t="s">
        <v>73</v>
      </c>
      <c r="AI6" s="37" t="s">
        <v>74</v>
      </c>
      <c r="AJ6" s="40" t="s">
        <v>4</v>
      </c>
      <c r="AK6" s="38" t="s">
        <v>72</v>
      </c>
      <c r="AL6" s="39" t="s">
        <v>73</v>
      </c>
      <c r="AM6" s="37" t="s">
        <v>74</v>
      </c>
      <c r="AN6" s="40" t="s">
        <v>4</v>
      </c>
      <c r="AO6" s="38" t="s">
        <v>72</v>
      </c>
      <c r="AP6" s="39" t="s">
        <v>73</v>
      </c>
      <c r="AQ6" s="37" t="s">
        <v>74</v>
      </c>
      <c r="AR6" s="40" t="s">
        <v>4</v>
      </c>
      <c r="AS6" s="38" t="s">
        <v>72</v>
      </c>
      <c r="AT6" s="39" t="s">
        <v>73</v>
      </c>
      <c r="AU6" s="37" t="s">
        <v>74</v>
      </c>
      <c r="AV6" s="40" t="s">
        <v>4</v>
      </c>
      <c r="AW6" s="38" t="s">
        <v>72</v>
      </c>
      <c r="AX6" s="39" t="s">
        <v>73</v>
      </c>
      <c r="AY6" s="102" t="s">
        <v>74</v>
      </c>
      <c r="AZ6" s="40" t="s">
        <v>4</v>
      </c>
      <c r="BA6" s="38" t="s">
        <v>72</v>
      </c>
      <c r="BB6" s="39" t="s">
        <v>73</v>
      </c>
      <c r="BC6" s="102" t="s">
        <v>74</v>
      </c>
      <c r="BD6" s="40" t="s">
        <v>4</v>
      </c>
      <c r="BE6" s="38" t="s">
        <v>72</v>
      </c>
      <c r="BF6" s="39" t="s">
        <v>73</v>
      </c>
      <c r="BG6" s="37" t="s">
        <v>74</v>
      </c>
      <c r="BH6" s="37"/>
      <c r="BI6" s="37" t="s">
        <v>4</v>
      </c>
      <c r="BJ6" s="41" t="s">
        <v>5</v>
      </c>
      <c r="BK6" s="41" t="s">
        <v>6</v>
      </c>
      <c r="BL6" s="42" t="s">
        <v>7</v>
      </c>
      <c r="BM6" s="41" t="s">
        <v>8</v>
      </c>
      <c r="BN6" s="41" t="s">
        <v>9</v>
      </c>
      <c r="BO6" s="41" t="s">
        <v>10</v>
      </c>
      <c r="BP6" s="41" t="s">
        <v>11</v>
      </c>
      <c r="BQ6" s="43"/>
      <c r="BR6" s="43"/>
      <c r="BS6" s="43"/>
      <c r="BT6" s="43"/>
      <c r="BU6" s="43"/>
      <c r="BV6" s="43"/>
      <c r="BW6" s="43"/>
      <c r="BX6" s="43"/>
      <c r="BY6" s="43"/>
    </row>
    <row r="7" spans="1:77" s="75" customFormat="1" ht="18" x14ac:dyDescent="0.25">
      <c r="A7" s="80" t="s">
        <v>12</v>
      </c>
      <c r="B7" s="81"/>
      <c r="C7" s="64"/>
      <c r="D7" s="82"/>
      <c r="E7" s="65"/>
      <c r="F7" s="66"/>
      <c r="G7" s="83"/>
      <c r="H7" s="82"/>
      <c r="I7" s="65"/>
      <c r="J7" s="66"/>
      <c r="K7" s="84"/>
      <c r="L7" s="64"/>
      <c r="M7" s="65"/>
      <c r="N7" s="66"/>
      <c r="O7" s="64"/>
      <c r="P7" s="47"/>
      <c r="Q7" s="65"/>
      <c r="R7" s="66"/>
      <c r="S7" s="64"/>
      <c r="T7" s="88"/>
      <c r="U7" s="65"/>
      <c r="V7" s="66"/>
      <c r="W7" s="64"/>
      <c r="X7" s="82"/>
      <c r="Y7" s="65"/>
      <c r="Z7" s="66"/>
      <c r="AA7" s="64"/>
      <c r="AB7" s="88"/>
      <c r="AC7" s="65"/>
      <c r="AD7" s="66"/>
      <c r="AE7" s="64"/>
      <c r="AF7" s="82"/>
      <c r="AG7" s="65"/>
      <c r="AH7" s="66"/>
      <c r="AI7" s="64"/>
      <c r="AJ7" s="82"/>
      <c r="AK7" s="65"/>
      <c r="AL7" s="66"/>
      <c r="AM7" s="64"/>
      <c r="AN7" s="100"/>
      <c r="AO7" s="65"/>
      <c r="AP7" s="66"/>
      <c r="AQ7" s="64"/>
      <c r="AR7" s="82"/>
      <c r="AS7" s="65"/>
      <c r="AT7" s="66"/>
      <c r="AU7" s="64"/>
      <c r="AV7" s="82"/>
      <c r="AW7" s="65"/>
      <c r="AX7" s="66"/>
      <c r="AY7" s="84"/>
      <c r="AZ7" s="82"/>
      <c r="BA7" s="65"/>
      <c r="BB7" s="66"/>
      <c r="BC7" s="84"/>
      <c r="BD7" s="82"/>
      <c r="BE7" s="65"/>
      <c r="BF7" s="66"/>
      <c r="BG7" s="83"/>
      <c r="BH7" s="64"/>
      <c r="BI7" s="51">
        <f>+D7+H7+L7+P7+T7+X7+AB7+AF7+AJ7+AN7+AR7+AV7+AZ7+BD7</f>
        <v>0</v>
      </c>
      <c r="BJ7" s="51">
        <f>+E7+I7+M7+Q7+U7+Y7+AC7+AG7+AK7+AO7+AS7+AW7+BA7+BE7</f>
        <v>0</v>
      </c>
      <c r="BK7" s="51">
        <f t="shared" ref="BK7" si="0">+F7+J7+N7+R7+V8+Z7+AD7+AH7+AL7+AP7+AT7+AX7+BB7+BF7</f>
        <v>0</v>
      </c>
      <c r="BL7" s="51">
        <f t="shared" ref="BL7" si="1">+G7+K7+O7+S7+W7+AA7+AE7+AI7+AM7+AQ7+AU7+AY7+BC7+BG7</f>
        <v>0</v>
      </c>
      <c r="BM7" s="51">
        <f>+E7-F7+G7+I7-J7+K7+M7-N7+O7+Q7-R7+S7+U7-V8+W7+Y7-Z7+AA7+AC7-AD7+AE7</f>
        <v>0</v>
      </c>
      <c r="BN7" s="51">
        <f t="shared" ref="BN7" si="2">+AG7-AH7+AI7+AK7-AL7+AM7+AO7-AP7+AQ7+AS7-AT7+AU7+AW7-AX7+AY7+BA7-BB7+BC7+BE7-BF7+BG7</f>
        <v>0</v>
      </c>
      <c r="BO7" s="51">
        <f>BJ7-BK7+BL7</f>
        <v>0</v>
      </c>
      <c r="BP7" s="51">
        <f>IF((+BI7*0.08)&lt;BJ7,0,(+BI7*0.08)-BJ7)</f>
        <v>0</v>
      </c>
      <c r="BQ7" s="85">
        <f>IF(BI7&lt;&gt;0,+BJ7/BI7,0)</f>
        <v>0</v>
      </c>
      <c r="BR7" s="64"/>
      <c r="BS7" s="64"/>
      <c r="BT7" s="64"/>
      <c r="BU7" s="64"/>
      <c r="BV7" s="64"/>
      <c r="BW7" s="64"/>
      <c r="BX7" s="64"/>
      <c r="BY7" s="64"/>
    </row>
    <row r="8" spans="1:77" s="75" customFormat="1" ht="18" x14ac:dyDescent="0.25">
      <c r="A8" s="80"/>
      <c r="B8" s="81"/>
      <c r="C8" s="64"/>
      <c r="D8" s="82"/>
      <c r="E8" s="65"/>
      <c r="F8" s="66"/>
      <c r="G8" s="84"/>
      <c r="H8" s="82"/>
      <c r="I8" s="65"/>
      <c r="J8" s="66"/>
      <c r="K8" s="64"/>
      <c r="L8" s="47"/>
      <c r="M8" s="65"/>
      <c r="N8" s="66"/>
      <c r="O8" s="64"/>
      <c r="P8" s="47"/>
      <c r="Q8" s="48"/>
      <c r="R8" s="66"/>
      <c r="S8" s="64"/>
      <c r="T8" s="82"/>
      <c r="U8" s="65"/>
      <c r="V8" s="66"/>
      <c r="W8" s="64"/>
      <c r="X8" s="82"/>
      <c r="Y8" s="65"/>
      <c r="Z8" s="66"/>
      <c r="AA8" s="64"/>
      <c r="AB8" s="82"/>
      <c r="AC8" s="65"/>
      <c r="AD8" s="66"/>
      <c r="AE8" s="64"/>
      <c r="AF8" s="82"/>
      <c r="AG8" s="65"/>
      <c r="AH8" s="66"/>
      <c r="AI8" s="64"/>
      <c r="AJ8" s="82"/>
      <c r="AK8" s="65"/>
      <c r="AL8" s="66"/>
      <c r="AM8" s="64"/>
      <c r="AN8" s="100"/>
      <c r="AO8" s="65"/>
      <c r="AP8" s="66"/>
      <c r="AQ8" s="64"/>
      <c r="AR8" s="82"/>
      <c r="AS8" s="65"/>
      <c r="AT8" s="66"/>
      <c r="AU8" s="64"/>
      <c r="AV8" s="82"/>
      <c r="AW8" s="65"/>
      <c r="AX8" s="66"/>
      <c r="AY8" s="84"/>
      <c r="AZ8" s="82"/>
      <c r="BA8" s="65"/>
      <c r="BB8" s="66"/>
      <c r="BC8" s="84"/>
      <c r="BD8" s="82"/>
      <c r="BE8" s="65"/>
      <c r="BF8" s="66"/>
      <c r="BG8" s="84"/>
      <c r="BH8" s="64"/>
      <c r="BI8" s="51">
        <f t="shared" ref="BI8:BI67" si="3">+D8+H8+L8+P8+T8+X8+AB8+AF8+AJ8+AN8+AR8+AV8+AZ8+BD8</f>
        <v>0</v>
      </c>
      <c r="BJ8" s="51">
        <f t="shared" ref="BJ8:BJ67" si="4">+E8+I8+M8+Q8+U8+Y8+AC8+AG8+AK8+AO8+AS8+AW8+BA8+BE8</f>
        <v>0</v>
      </c>
      <c r="BK8" s="51">
        <f t="shared" ref="BK8:BK67" si="5">+F8+J8+N8+R8+V9+Z8+AD8+AH8+AL8+AP8+AT8+AX8+BB8+BF8</f>
        <v>0</v>
      </c>
      <c r="BL8" s="51">
        <f t="shared" ref="BL8:BL67" si="6">+G8+K8+O8+S8+W8+AA8+AE8+AI8+AM8+AQ8+AU8+AY8+BC8+BG8</f>
        <v>0</v>
      </c>
      <c r="BM8" s="51">
        <f t="shared" ref="BM8:BM67" si="7">+E8-F8+G8+I8-J8+K8+M8-N8+O8+Q8-R8+S8+U8-V9+W8+Y8-Z8+AA8+AC8-AD8+AE8</f>
        <v>0</v>
      </c>
      <c r="BN8" s="51">
        <f t="shared" ref="BN8:BN67" si="8">+AG8-AH8+AI8+AK8-AL8+AM8+AO8-AP8+AQ8+AS8-AT8+AU8+AW8-AX8+AY8+BA8-BB8+BC8+BE8-BF8+BG8</f>
        <v>0</v>
      </c>
      <c r="BO8" s="51">
        <f t="shared" ref="BO8:BO67" si="9">BJ8-BK8+BL8</f>
        <v>0</v>
      </c>
      <c r="BP8" s="51">
        <f t="shared" ref="BP8:BP67" si="10">IF((+BI8*0.08)&lt;BJ8,0,(+BI8*0.08)-BJ8)</f>
        <v>0</v>
      </c>
      <c r="BQ8" s="85">
        <f t="shared" ref="BQ8:BQ67" si="11">IF(BI8&lt;&gt;0,+BJ8/BI8,0)</f>
        <v>0</v>
      </c>
      <c r="BR8" s="64"/>
      <c r="BS8" s="64"/>
      <c r="BT8" s="64"/>
      <c r="BU8" s="64"/>
      <c r="BV8" s="64"/>
      <c r="BW8" s="64"/>
      <c r="BX8" s="64"/>
      <c r="BY8" s="64"/>
    </row>
    <row r="9" spans="1:77" s="75" customFormat="1" ht="18" x14ac:dyDescent="0.25">
      <c r="A9" s="52">
        <v>5889</v>
      </c>
      <c r="B9" s="53" t="s">
        <v>99</v>
      </c>
      <c r="C9" s="53"/>
      <c r="D9" s="47">
        <f>261.81</f>
        <v>261.81</v>
      </c>
      <c r="E9" s="48">
        <v>26.18</v>
      </c>
      <c r="F9" s="49"/>
      <c r="G9" s="50"/>
      <c r="H9" s="51"/>
      <c r="I9" s="48"/>
      <c r="J9" s="49"/>
      <c r="K9" s="50"/>
      <c r="L9" s="51"/>
      <c r="M9" s="48"/>
      <c r="N9" s="49"/>
      <c r="O9" s="50"/>
      <c r="P9" s="51"/>
      <c r="Q9" s="48"/>
      <c r="R9" s="49"/>
      <c r="S9" s="51"/>
      <c r="T9" s="47"/>
      <c r="U9" s="48"/>
      <c r="V9" s="49"/>
      <c r="W9" s="50"/>
      <c r="X9" s="51"/>
      <c r="Y9" s="48"/>
      <c r="Z9" s="49"/>
      <c r="AA9" s="50"/>
      <c r="AB9" s="47"/>
      <c r="AC9" s="48"/>
      <c r="AD9" s="49"/>
      <c r="AE9" s="50"/>
      <c r="AF9" s="82"/>
      <c r="AG9" s="48"/>
      <c r="AH9" s="49"/>
      <c r="AI9" s="50"/>
      <c r="AJ9" s="82"/>
      <c r="AK9" s="48"/>
      <c r="AL9" s="49"/>
      <c r="AM9" s="50"/>
      <c r="AN9" s="97"/>
      <c r="AO9" s="48"/>
      <c r="AP9" s="49"/>
      <c r="AQ9" s="50"/>
      <c r="AR9" s="51"/>
      <c r="AS9" s="48"/>
      <c r="AT9" s="49"/>
      <c r="AU9" s="50"/>
      <c r="AV9" s="51"/>
      <c r="AW9" s="48"/>
      <c r="AX9" s="49"/>
      <c r="AY9" s="50"/>
      <c r="AZ9" s="51"/>
      <c r="BA9" s="48"/>
      <c r="BB9" s="49"/>
      <c r="BC9" s="50"/>
      <c r="BD9" s="51"/>
      <c r="BE9" s="48"/>
      <c r="BF9" s="49"/>
      <c r="BG9" s="50"/>
      <c r="BH9" s="64"/>
      <c r="BI9" s="51">
        <f t="shared" si="3"/>
        <v>261.81</v>
      </c>
      <c r="BJ9" s="51">
        <f t="shared" si="4"/>
        <v>26.18</v>
      </c>
      <c r="BK9" s="51">
        <f t="shared" si="5"/>
        <v>0</v>
      </c>
      <c r="BL9" s="51">
        <f t="shared" si="6"/>
        <v>0</v>
      </c>
      <c r="BM9" s="51">
        <f t="shared" si="7"/>
        <v>26.18</v>
      </c>
      <c r="BN9" s="51">
        <f t="shared" si="8"/>
        <v>0</v>
      </c>
      <c r="BO9" s="51">
        <f t="shared" si="9"/>
        <v>26.18</v>
      </c>
      <c r="BP9" s="51">
        <f t="shared" si="10"/>
        <v>0</v>
      </c>
      <c r="BQ9" s="85">
        <f t="shared" si="11"/>
        <v>9.9996180436194182E-2</v>
      </c>
      <c r="BR9" s="64"/>
      <c r="BS9" s="64"/>
      <c r="BT9" s="64"/>
      <c r="BU9" s="64"/>
      <c r="BV9" s="64"/>
      <c r="BW9" s="64"/>
      <c r="BX9" s="64"/>
      <c r="BY9" s="64"/>
    </row>
    <row r="10" spans="1:77" s="75" customFormat="1" ht="18" x14ac:dyDescent="0.25">
      <c r="A10" s="52">
        <v>5674</v>
      </c>
      <c r="B10" s="53" t="s">
        <v>77</v>
      </c>
      <c r="C10" s="53"/>
      <c r="D10" s="47">
        <f>708.48</f>
        <v>708.48</v>
      </c>
      <c r="E10" s="112">
        <f>70.84</f>
        <v>70.84</v>
      </c>
      <c r="F10" s="49"/>
      <c r="G10" s="50"/>
      <c r="H10" s="51"/>
      <c r="I10" s="48"/>
      <c r="J10" s="49"/>
      <c r="K10" s="50"/>
      <c r="L10" s="51">
        <v>200</v>
      </c>
      <c r="M10" s="48">
        <v>20</v>
      </c>
      <c r="N10" s="49"/>
      <c r="O10" s="50"/>
      <c r="P10" s="47"/>
      <c r="Q10" s="48"/>
      <c r="R10" s="49"/>
      <c r="S10" s="51"/>
      <c r="T10" s="47">
        <v>1376.5</v>
      </c>
      <c r="U10" s="48">
        <v>137</v>
      </c>
      <c r="V10" s="49"/>
      <c r="W10" s="50"/>
      <c r="X10" s="109">
        <v>1681.39</v>
      </c>
      <c r="Y10" s="48">
        <v>168</v>
      </c>
      <c r="Z10" s="49"/>
      <c r="AA10" s="50"/>
      <c r="AB10" s="47">
        <v>2202.9699999999998</v>
      </c>
      <c r="AC10" s="48">
        <v>220</v>
      </c>
      <c r="AD10" s="49"/>
      <c r="AE10" s="50"/>
      <c r="AF10" s="82">
        <v>1362.83</v>
      </c>
      <c r="AG10" s="48">
        <v>136</v>
      </c>
      <c r="AH10" s="49"/>
      <c r="AI10" s="50"/>
      <c r="AJ10" s="82"/>
      <c r="AK10" s="48"/>
      <c r="AL10" s="49"/>
      <c r="AM10" s="50"/>
      <c r="AN10" s="97"/>
      <c r="AO10" s="48"/>
      <c r="AP10" s="49"/>
      <c r="AQ10" s="50"/>
      <c r="AR10" s="47"/>
      <c r="AS10" s="48"/>
      <c r="AT10" s="49"/>
      <c r="AU10" s="50"/>
      <c r="AV10" s="51"/>
      <c r="AW10" s="48"/>
      <c r="AX10" s="49"/>
      <c r="AY10" s="50"/>
      <c r="AZ10" s="51">
        <f>1107.69</f>
        <v>1107.69</v>
      </c>
      <c r="BA10" s="48">
        <f>110</f>
        <v>110</v>
      </c>
      <c r="BB10" s="49"/>
      <c r="BC10" s="50"/>
      <c r="BD10" s="51"/>
      <c r="BE10" s="48"/>
      <c r="BF10" s="49"/>
      <c r="BG10" s="50"/>
      <c r="BH10" s="64"/>
      <c r="BI10" s="51">
        <f t="shared" si="3"/>
        <v>8639.86</v>
      </c>
      <c r="BJ10" s="51">
        <f t="shared" si="4"/>
        <v>861.84</v>
      </c>
      <c r="BK10" s="51">
        <f t="shared" si="5"/>
        <v>0</v>
      </c>
      <c r="BL10" s="51">
        <f t="shared" si="6"/>
        <v>0</v>
      </c>
      <c r="BM10" s="51">
        <f t="shared" si="7"/>
        <v>615.84</v>
      </c>
      <c r="BN10" s="51">
        <f t="shared" si="8"/>
        <v>246</v>
      </c>
      <c r="BO10" s="51">
        <f t="shared" si="9"/>
        <v>861.84</v>
      </c>
      <c r="BP10" s="51">
        <f t="shared" si="10"/>
        <v>0</v>
      </c>
      <c r="BQ10" s="85">
        <f t="shared" si="11"/>
        <v>9.975161634563523E-2</v>
      </c>
      <c r="BR10" s="64"/>
      <c r="BS10" s="64"/>
      <c r="BT10" s="64"/>
      <c r="BU10" s="64"/>
      <c r="BV10" s="64"/>
      <c r="BW10" s="64"/>
      <c r="BX10" s="64"/>
      <c r="BY10" s="64"/>
    </row>
    <row r="11" spans="1:77" s="75" customFormat="1" ht="18" x14ac:dyDescent="0.25">
      <c r="A11" s="52">
        <v>92704</v>
      </c>
      <c r="B11" s="53" t="s">
        <v>21</v>
      </c>
      <c r="C11" s="54"/>
      <c r="D11" s="47"/>
      <c r="E11" s="48"/>
      <c r="F11" s="49"/>
      <c r="G11" s="50"/>
      <c r="H11" s="47"/>
      <c r="I11" s="48"/>
      <c r="J11" s="49"/>
      <c r="K11" s="51"/>
      <c r="L11" s="47"/>
      <c r="M11" s="48"/>
      <c r="N11" s="49"/>
      <c r="O11" s="51"/>
      <c r="P11" s="47"/>
      <c r="Q11" s="48"/>
      <c r="R11" s="49"/>
      <c r="S11" s="51"/>
      <c r="T11" s="47"/>
      <c r="U11" s="48"/>
      <c r="V11" s="49"/>
      <c r="W11" s="51"/>
      <c r="X11" s="82"/>
      <c r="Y11" s="48"/>
      <c r="Z11" s="49"/>
      <c r="AA11" s="51"/>
      <c r="AB11" s="47"/>
      <c r="AC11" s="48"/>
      <c r="AD11" s="49"/>
      <c r="AE11" s="51"/>
      <c r="AF11" s="82"/>
      <c r="AG11" s="48"/>
      <c r="AH11" s="49"/>
      <c r="AI11" s="51"/>
      <c r="AJ11" s="82"/>
      <c r="AK11" s="48"/>
      <c r="AL11" s="49"/>
      <c r="AM11" s="51"/>
      <c r="AN11" s="101"/>
      <c r="AO11" s="48"/>
      <c r="AP11" s="49"/>
      <c r="AQ11" s="51"/>
      <c r="AR11" s="47"/>
      <c r="AS11" s="48"/>
      <c r="AT11" s="49"/>
      <c r="AU11" s="51"/>
      <c r="AV11" s="47"/>
      <c r="AW11" s="48"/>
      <c r="AX11" s="49"/>
      <c r="AY11" s="50"/>
      <c r="AZ11" s="47"/>
      <c r="BA11" s="48"/>
      <c r="BB11" s="49"/>
      <c r="BC11" s="50"/>
      <c r="BD11" s="47"/>
      <c r="BE11" s="48"/>
      <c r="BF11" s="49"/>
      <c r="BG11" s="50"/>
      <c r="BH11" s="64"/>
      <c r="BI11" s="51">
        <f t="shared" si="3"/>
        <v>0</v>
      </c>
      <c r="BJ11" s="51">
        <f t="shared" si="4"/>
        <v>0</v>
      </c>
      <c r="BK11" s="51">
        <f t="shared" si="5"/>
        <v>0</v>
      </c>
      <c r="BL11" s="51">
        <f t="shared" si="6"/>
        <v>0</v>
      </c>
      <c r="BM11" s="51">
        <f t="shared" si="7"/>
        <v>0</v>
      </c>
      <c r="BN11" s="51">
        <f t="shared" si="8"/>
        <v>0</v>
      </c>
      <c r="BO11" s="51">
        <f t="shared" si="9"/>
        <v>0</v>
      </c>
      <c r="BP11" s="51">
        <f t="shared" si="10"/>
        <v>0</v>
      </c>
      <c r="BQ11" s="85">
        <f t="shared" si="11"/>
        <v>0</v>
      </c>
      <c r="BR11" s="51"/>
      <c r="BS11" s="51"/>
      <c r="BT11" s="51"/>
      <c r="BU11" s="51"/>
      <c r="BV11" s="51"/>
      <c r="BW11" s="51"/>
      <c r="BX11" s="51"/>
      <c r="BY11" s="64"/>
    </row>
    <row r="12" spans="1:77" s="75" customFormat="1" ht="18" x14ac:dyDescent="0.25">
      <c r="A12" s="52">
        <v>93512</v>
      </c>
      <c r="B12" s="53" t="s">
        <v>22</v>
      </c>
      <c r="C12" s="54"/>
      <c r="D12" s="47"/>
      <c r="E12" s="48"/>
      <c r="F12" s="49"/>
      <c r="G12" s="50"/>
      <c r="H12" s="47"/>
      <c r="I12" s="48"/>
      <c r="J12" s="49"/>
      <c r="K12" s="51"/>
      <c r="L12" s="47"/>
      <c r="M12" s="48"/>
      <c r="N12" s="49"/>
      <c r="O12" s="51"/>
      <c r="P12" s="47"/>
      <c r="Q12" s="48"/>
      <c r="R12" s="49"/>
      <c r="S12" s="51"/>
      <c r="T12" s="47"/>
      <c r="U12" s="48"/>
      <c r="V12" s="49"/>
      <c r="W12" s="51"/>
      <c r="X12" s="82"/>
      <c r="Y12" s="48"/>
      <c r="Z12" s="49"/>
      <c r="AA12" s="51"/>
      <c r="AB12" s="47"/>
      <c r="AC12" s="48"/>
      <c r="AD12" s="49"/>
      <c r="AE12" s="51"/>
      <c r="AF12" s="82"/>
      <c r="AG12" s="48"/>
      <c r="AH12" s="49"/>
      <c r="AI12" s="51"/>
      <c r="AJ12" s="82"/>
      <c r="AK12" s="48"/>
      <c r="AL12" s="49"/>
      <c r="AM12" s="51"/>
      <c r="AN12" s="101"/>
      <c r="AO12" s="48"/>
      <c r="AP12" s="49"/>
      <c r="AQ12" s="51"/>
      <c r="AR12" s="47"/>
      <c r="AS12" s="48"/>
      <c r="AT12" s="49"/>
      <c r="AU12" s="51"/>
      <c r="AV12" s="47"/>
      <c r="AW12" s="48"/>
      <c r="AX12" s="49"/>
      <c r="AY12" s="50"/>
      <c r="AZ12" s="47"/>
      <c r="BA12" s="48"/>
      <c r="BB12" s="49"/>
      <c r="BC12" s="50"/>
      <c r="BD12" s="47"/>
      <c r="BE12" s="48"/>
      <c r="BF12" s="49"/>
      <c r="BG12" s="50"/>
      <c r="BH12" s="64"/>
      <c r="BI12" s="51">
        <f t="shared" si="3"/>
        <v>0</v>
      </c>
      <c r="BJ12" s="51">
        <f t="shared" si="4"/>
        <v>0</v>
      </c>
      <c r="BK12" s="51">
        <f t="shared" si="5"/>
        <v>0</v>
      </c>
      <c r="BL12" s="51">
        <f t="shared" si="6"/>
        <v>0</v>
      </c>
      <c r="BM12" s="51">
        <f t="shared" si="7"/>
        <v>0</v>
      </c>
      <c r="BN12" s="51">
        <f t="shared" si="8"/>
        <v>0</v>
      </c>
      <c r="BO12" s="51">
        <f t="shared" si="9"/>
        <v>0</v>
      </c>
      <c r="BP12" s="51">
        <f t="shared" si="10"/>
        <v>0</v>
      </c>
      <c r="BQ12" s="85">
        <f t="shared" si="11"/>
        <v>0</v>
      </c>
      <c r="BR12" s="51"/>
      <c r="BS12" s="51"/>
      <c r="BT12" s="51"/>
      <c r="BU12" s="51"/>
      <c r="BV12" s="51"/>
      <c r="BW12" s="51"/>
      <c r="BX12" s="51"/>
      <c r="BY12" s="64"/>
    </row>
    <row r="13" spans="1:77" s="75" customFormat="1" ht="18" x14ac:dyDescent="0.25">
      <c r="A13" s="52">
        <v>5274</v>
      </c>
      <c r="B13" s="53" t="s">
        <v>67</v>
      </c>
      <c r="C13" s="54"/>
      <c r="D13" s="47">
        <f>261.81+2321.48</f>
        <v>2583.29</v>
      </c>
      <c r="E13" s="48">
        <f>26.18+232</f>
        <v>258.18</v>
      </c>
      <c r="F13" s="49"/>
      <c r="G13" s="50"/>
      <c r="H13" s="51">
        <v>534.79999999999995</v>
      </c>
      <c r="I13" s="48">
        <v>54</v>
      </c>
      <c r="J13" s="49"/>
      <c r="K13" s="51"/>
      <c r="L13" s="47">
        <f>285.5+229.25</f>
        <v>514.75</v>
      </c>
      <c r="M13" s="48">
        <f>29+22.92</f>
        <v>51.92</v>
      </c>
      <c r="N13" s="49"/>
      <c r="O13" s="51"/>
      <c r="P13" s="47">
        <v>501.91</v>
      </c>
      <c r="Q13" s="48">
        <v>50.19</v>
      </c>
      <c r="R13" s="49"/>
      <c r="S13" s="51"/>
      <c r="T13" s="47">
        <v>270.42</v>
      </c>
      <c r="U13" s="48">
        <v>27</v>
      </c>
      <c r="V13" s="49"/>
      <c r="W13" s="51"/>
      <c r="X13" s="82"/>
      <c r="Y13" s="48"/>
      <c r="Z13" s="49"/>
      <c r="AA13" s="51"/>
      <c r="AB13" s="47"/>
      <c r="AC13" s="48"/>
      <c r="AD13" s="49"/>
      <c r="AE13" s="51"/>
      <c r="AF13" s="82">
        <f>821.76+1622.05</f>
        <v>2443.81</v>
      </c>
      <c r="AG13" s="48">
        <f>82.1+162</f>
        <v>244.1</v>
      </c>
      <c r="AH13" s="49"/>
      <c r="AI13" s="51"/>
      <c r="AJ13" s="82">
        <f>298.5</f>
        <v>298.5</v>
      </c>
      <c r="AK13" s="48">
        <f>29.85</f>
        <v>29.85</v>
      </c>
      <c r="AL13" s="49"/>
      <c r="AM13" s="51"/>
      <c r="AN13" s="82">
        <f>580.87+251.83</f>
        <v>832.7</v>
      </c>
      <c r="AO13" s="48">
        <f>59+25.18</f>
        <v>84.18</v>
      </c>
      <c r="AP13" s="49"/>
      <c r="AQ13" s="51"/>
      <c r="AR13" s="47">
        <v>330.66</v>
      </c>
      <c r="AS13" s="48">
        <v>33</v>
      </c>
      <c r="AT13" s="49"/>
      <c r="AU13" s="51"/>
      <c r="AV13" s="47">
        <f>251.83+580.88</f>
        <v>832.71</v>
      </c>
      <c r="AW13" s="48">
        <f>25.18+59</f>
        <v>84.18</v>
      </c>
      <c r="AX13" s="49"/>
      <c r="AY13" s="50"/>
      <c r="AZ13" s="47"/>
      <c r="BA13" s="48"/>
      <c r="BB13" s="49"/>
      <c r="BC13" s="50"/>
      <c r="BD13" s="47"/>
      <c r="BE13" s="48"/>
      <c r="BF13" s="49"/>
      <c r="BG13" s="50"/>
      <c r="BH13" s="64"/>
      <c r="BI13" s="51">
        <f t="shared" si="3"/>
        <v>9143.5499999999993</v>
      </c>
      <c r="BJ13" s="51">
        <f t="shared" si="4"/>
        <v>916.60000000000014</v>
      </c>
      <c r="BK13" s="51">
        <f>+F13+J13+N13+R13+V14+Z13+AD13+AH13+AL13+AP13+AT13+AX13+BB13+BF13</f>
        <v>0</v>
      </c>
      <c r="BL13" s="51">
        <f t="shared" si="6"/>
        <v>0</v>
      </c>
      <c r="BM13" s="51">
        <f>+E13-F13+G13+I13-J13+K13+M13-N13+O13+Q13-R13+S13+U13-V14+W13+Y13-Z13+AA13+AC13-AD13+AE13</f>
        <v>441.29</v>
      </c>
      <c r="BN13" s="51">
        <f t="shared" si="8"/>
        <v>475.31</v>
      </c>
      <c r="BO13" s="51">
        <f t="shared" si="9"/>
        <v>916.60000000000014</v>
      </c>
      <c r="BP13" s="51">
        <f t="shared" si="10"/>
        <v>0</v>
      </c>
      <c r="BQ13" s="85">
        <f t="shared" si="11"/>
        <v>0.10024552826856092</v>
      </c>
      <c r="BR13" s="51"/>
      <c r="BS13" s="51"/>
      <c r="BT13" s="51"/>
      <c r="BU13" s="51"/>
      <c r="BV13" s="51"/>
      <c r="BW13" s="51"/>
      <c r="BX13" s="51"/>
      <c r="BY13" s="64"/>
    </row>
    <row r="14" spans="1:77" s="75" customFormat="1" ht="18" x14ac:dyDescent="0.25">
      <c r="A14" s="52">
        <v>5749</v>
      </c>
      <c r="B14" s="53" t="s">
        <v>64</v>
      </c>
      <c r="C14" s="54"/>
      <c r="D14" s="47"/>
      <c r="E14" s="48"/>
      <c r="F14" s="49"/>
      <c r="G14" s="50"/>
      <c r="H14" s="47">
        <v>1248.1199999999999</v>
      </c>
      <c r="I14" s="48">
        <v>124</v>
      </c>
      <c r="J14" s="49"/>
      <c r="K14" s="51"/>
      <c r="L14" s="47">
        <v>2002.5</v>
      </c>
      <c r="M14" s="48">
        <v>200</v>
      </c>
      <c r="N14" s="49"/>
      <c r="O14" s="51"/>
      <c r="P14" s="47">
        <v>1081.33</v>
      </c>
      <c r="Q14" s="48">
        <v>108</v>
      </c>
      <c r="R14" s="49"/>
      <c r="S14" s="51"/>
      <c r="T14" s="47"/>
      <c r="U14" s="48"/>
      <c r="V14" s="49"/>
      <c r="W14" s="50"/>
      <c r="X14" s="82"/>
      <c r="Y14" s="48"/>
      <c r="Z14" s="49"/>
      <c r="AA14" s="51"/>
      <c r="AB14" s="47">
        <v>2202.9699999999998</v>
      </c>
      <c r="AC14" s="48">
        <v>220</v>
      </c>
      <c r="AD14" s="49"/>
      <c r="AE14" s="50"/>
      <c r="AF14" s="82"/>
      <c r="AG14" s="48"/>
      <c r="AH14" s="49"/>
      <c r="AI14" s="51"/>
      <c r="AJ14" s="82">
        <v>716.25</v>
      </c>
      <c r="AK14" s="48">
        <v>71</v>
      </c>
      <c r="AL14" s="49"/>
      <c r="AM14" s="51"/>
      <c r="AN14" s="101">
        <v>793.88</v>
      </c>
      <c r="AO14" s="48">
        <v>79</v>
      </c>
      <c r="AP14" s="49"/>
      <c r="AQ14" s="51"/>
      <c r="AR14" s="47">
        <f>748.55</f>
        <v>748.55</v>
      </c>
      <c r="AS14" s="48">
        <v>74</v>
      </c>
      <c r="AT14" s="49"/>
      <c r="AU14" s="51"/>
      <c r="AV14" s="47">
        <v>793.88</v>
      </c>
      <c r="AW14" s="48">
        <v>251.83</v>
      </c>
      <c r="AX14" s="49"/>
      <c r="AY14" s="50"/>
      <c r="AZ14" s="51"/>
      <c r="BA14" s="48"/>
      <c r="BB14" s="49"/>
      <c r="BC14" s="50"/>
      <c r="BD14" s="47">
        <v>1320</v>
      </c>
      <c r="BE14" s="48">
        <v>132</v>
      </c>
      <c r="BF14" s="49"/>
      <c r="BG14" s="50"/>
      <c r="BH14" s="64"/>
      <c r="BI14" s="51">
        <f t="shared" si="3"/>
        <v>10907.48</v>
      </c>
      <c r="BJ14" s="51">
        <f t="shared" si="4"/>
        <v>1259.83</v>
      </c>
      <c r="BK14" s="51">
        <f t="shared" si="5"/>
        <v>0</v>
      </c>
      <c r="BL14" s="51">
        <f t="shared" si="6"/>
        <v>0</v>
      </c>
      <c r="BM14" s="51">
        <f t="shared" si="7"/>
        <v>652</v>
      </c>
      <c r="BN14" s="51">
        <f t="shared" si="8"/>
        <v>607.83000000000004</v>
      </c>
      <c r="BO14" s="51">
        <f t="shared" si="9"/>
        <v>1259.83</v>
      </c>
      <c r="BP14" s="51">
        <f t="shared" si="10"/>
        <v>0</v>
      </c>
      <c r="BQ14" s="85">
        <f t="shared" si="11"/>
        <v>0.11550147238408871</v>
      </c>
      <c r="BR14" s="51"/>
      <c r="BS14" s="51"/>
      <c r="BT14" s="51"/>
      <c r="BU14" s="51"/>
      <c r="BV14" s="51"/>
      <c r="BW14" s="51"/>
      <c r="BX14" s="51"/>
      <c r="BY14" s="64"/>
    </row>
    <row r="15" spans="1:77" s="75" customFormat="1" ht="18" x14ac:dyDescent="0.25">
      <c r="A15" s="52">
        <v>91663</v>
      </c>
      <c r="B15" s="53" t="s">
        <v>59</v>
      </c>
      <c r="C15" s="54"/>
      <c r="D15" s="47"/>
      <c r="E15" s="48"/>
      <c r="F15" s="49"/>
      <c r="G15" s="50"/>
      <c r="H15" s="47"/>
      <c r="I15" s="48"/>
      <c r="J15" s="49"/>
      <c r="K15" s="51"/>
      <c r="L15" s="47"/>
      <c r="M15" s="48"/>
      <c r="N15" s="49"/>
      <c r="O15" s="51"/>
      <c r="P15" s="47"/>
      <c r="Q15" s="48"/>
      <c r="R15" s="49"/>
      <c r="S15" s="51"/>
      <c r="T15" s="47"/>
      <c r="U15" s="48"/>
      <c r="V15" s="49"/>
      <c r="W15" s="51"/>
      <c r="X15" s="82"/>
      <c r="Y15" s="48"/>
      <c r="Z15" s="49"/>
      <c r="AA15" s="51"/>
      <c r="AB15" s="47"/>
      <c r="AC15" s="48"/>
      <c r="AD15" s="49"/>
      <c r="AE15" s="51"/>
      <c r="AF15" s="82"/>
      <c r="AG15" s="48"/>
      <c r="AH15" s="49"/>
      <c r="AI15" s="51"/>
      <c r="AJ15" s="82"/>
      <c r="AK15" s="48"/>
      <c r="AL15" s="49"/>
      <c r="AM15" s="51"/>
      <c r="AN15" s="101"/>
      <c r="AO15" s="48"/>
      <c r="AP15" s="49"/>
      <c r="AQ15" s="51"/>
      <c r="AR15" s="47"/>
      <c r="AS15" s="48"/>
      <c r="AT15" s="49"/>
      <c r="AU15" s="51"/>
      <c r="AV15" s="47"/>
      <c r="AW15" s="48"/>
      <c r="AX15" s="49"/>
      <c r="AY15" s="50"/>
      <c r="AZ15" s="47"/>
      <c r="BA15" s="48"/>
      <c r="BB15" s="49"/>
      <c r="BC15" s="50"/>
      <c r="BD15" s="47"/>
      <c r="BE15" s="48"/>
      <c r="BF15" s="49"/>
      <c r="BG15" s="50"/>
      <c r="BH15" s="64"/>
      <c r="BI15" s="51">
        <f t="shared" si="3"/>
        <v>0</v>
      </c>
      <c r="BJ15" s="51">
        <f t="shared" si="4"/>
        <v>0</v>
      </c>
      <c r="BK15" s="51">
        <f t="shared" si="5"/>
        <v>0</v>
      </c>
      <c r="BL15" s="51">
        <f t="shared" si="6"/>
        <v>0</v>
      </c>
      <c r="BM15" s="51">
        <f t="shared" si="7"/>
        <v>0</v>
      </c>
      <c r="BN15" s="51">
        <f t="shared" si="8"/>
        <v>0</v>
      </c>
      <c r="BO15" s="51">
        <f t="shared" si="9"/>
        <v>0</v>
      </c>
      <c r="BP15" s="51">
        <f t="shared" si="10"/>
        <v>0</v>
      </c>
      <c r="BQ15" s="85">
        <f t="shared" si="11"/>
        <v>0</v>
      </c>
      <c r="BR15" s="51"/>
      <c r="BS15" s="51"/>
      <c r="BT15" s="51"/>
      <c r="BU15" s="51"/>
      <c r="BV15" s="51"/>
      <c r="BW15" s="51"/>
      <c r="BX15" s="51"/>
      <c r="BY15" s="64"/>
    </row>
    <row r="16" spans="1:77" s="75" customFormat="1" ht="18" x14ac:dyDescent="0.25">
      <c r="A16" s="52">
        <v>5515</v>
      </c>
      <c r="B16" s="53" t="s">
        <v>69</v>
      </c>
      <c r="C16" s="54"/>
      <c r="D16" s="47">
        <f>218.19+2321.48</f>
        <v>2539.67</v>
      </c>
      <c r="E16" s="48">
        <f>21.81+232</f>
        <v>253.81</v>
      </c>
      <c r="F16" s="49"/>
      <c r="G16" s="50"/>
      <c r="H16" s="51"/>
      <c r="I16" s="48"/>
      <c r="J16" s="49"/>
      <c r="K16" s="51"/>
      <c r="L16" s="47"/>
      <c r="M16" s="48"/>
      <c r="N16" s="49"/>
      <c r="O16" s="51"/>
      <c r="P16" s="47">
        <v>890.54</v>
      </c>
      <c r="Q16" s="48">
        <v>89</v>
      </c>
      <c r="R16" s="49"/>
      <c r="S16" s="51"/>
      <c r="T16" s="47">
        <v>1376.5</v>
      </c>
      <c r="U16" s="48">
        <v>137</v>
      </c>
      <c r="V16" s="49"/>
      <c r="W16" s="51"/>
      <c r="X16" s="82">
        <v>1681.39</v>
      </c>
      <c r="Y16" s="48">
        <v>168</v>
      </c>
      <c r="Z16" s="49"/>
      <c r="AA16" s="51"/>
      <c r="AB16" s="47">
        <v>2202.9699999999998</v>
      </c>
      <c r="AC16" s="48">
        <v>220</v>
      </c>
      <c r="AD16" s="49"/>
      <c r="AE16" s="51"/>
      <c r="AF16" s="82">
        <v>1622.05</v>
      </c>
      <c r="AG16" s="48">
        <v>162</v>
      </c>
      <c r="AH16" s="49"/>
      <c r="AI16" s="51"/>
      <c r="AJ16" s="82"/>
      <c r="AK16" s="48"/>
      <c r="AL16" s="49"/>
      <c r="AM16" s="51"/>
      <c r="AN16" s="101"/>
      <c r="AO16" s="48"/>
      <c r="AP16" s="49"/>
      <c r="AQ16" s="51"/>
      <c r="AR16" s="47">
        <v>600</v>
      </c>
      <c r="AS16" s="48">
        <v>60</v>
      </c>
      <c r="AT16" s="49"/>
      <c r="AU16" s="51"/>
      <c r="AV16" s="47"/>
      <c r="AW16" s="48"/>
      <c r="AX16" s="49"/>
      <c r="AY16" s="50"/>
      <c r="AZ16" s="47">
        <f>1107.69</f>
        <v>1107.69</v>
      </c>
      <c r="BA16" s="48">
        <f>110</f>
        <v>110</v>
      </c>
      <c r="BB16" s="49"/>
      <c r="BC16" s="50"/>
      <c r="BD16" s="47">
        <v>1320</v>
      </c>
      <c r="BE16" s="48">
        <v>132</v>
      </c>
      <c r="BF16" s="49"/>
      <c r="BG16" s="50"/>
      <c r="BH16" s="64"/>
      <c r="BI16" s="51">
        <f t="shared" si="3"/>
        <v>13340.81</v>
      </c>
      <c r="BJ16" s="51">
        <f t="shared" si="4"/>
        <v>1331.81</v>
      </c>
      <c r="BK16" s="51">
        <f t="shared" si="5"/>
        <v>0</v>
      </c>
      <c r="BL16" s="51">
        <f t="shared" si="6"/>
        <v>0</v>
      </c>
      <c r="BM16" s="51">
        <f t="shared" si="7"/>
        <v>867.81</v>
      </c>
      <c r="BN16" s="51">
        <f t="shared" si="8"/>
        <v>464</v>
      </c>
      <c r="BO16" s="51">
        <f t="shared" si="9"/>
        <v>1331.81</v>
      </c>
      <c r="BP16" s="51">
        <f t="shared" si="10"/>
        <v>0</v>
      </c>
      <c r="BQ16" s="85">
        <f t="shared" si="11"/>
        <v>9.9829770456216674E-2</v>
      </c>
      <c r="BR16" s="51"/>
      <c r="BS16" s="51"/>
      <c r="BT16" s="51"/>
      <c r="BU16" s="51"/>
      <c r="BV16" s="51"/>
      <c r="BW16" s="51"/>
      <c r="BX16" s="51"/>
      <c r="BY16" s="64"/>
    </row>
    <row r="17" spans="1:77" s="75" customFormat="1" ht="18" x14ac:dyDescent="0.25">
      <c r="A17" s="52">
        <v>5361</v>
      </c>
      <c r="B17" s="53" t="s">
        <v>93</v>
      </c>
      <c r="C17" s="55"/>
      <c r="D17" s="47"/>
      <c r="E17" s="48"/>
      <c r="F17" s="49"/>
      <c r="G17" s="50"/>
      <c r="H17" s="51"/>
      <c r="I17" s="48"/>
      <c r="J17" s="49"/>
      <c r="K17" s="51"/>
      <c r="L17" s="47">
        <f>285.5+229.25</f>
        <v>514.75</v>
      </c>
      <c r="M17" s="48">
        <f>29+22.92</f>
        <v>51.92</v>
      </c>
      <c r="N17" s="49"/>
      <c r="O17" s="51"/>
      <c r="P17" s="96">
        <v>501.91</v>
      </c>
      <c r="Q17" s="48">
        <v>50.19</v>
      </c>
      <c r="R17" s="49"/>
      <c r="S17" s="51"/>
      <c r="T17" s="47">
        <f>270.41+767.75</f>
        <v>1038.1600000000001</v>
      </c>
      <c r="U17" s="48">
        <f>27+76.77</f>
        <v>103.77</v>
      </c>
      <c r="V17" s="49"/>
      <c r="W17" s="51"/>
      <c r="X17" s="82">
        <f>303.11+371.21</f>
        <v>674.31999999999994</v>
      </c>
      <c r="Y17" s="48">
        <f>30.31+37.42</f>
        <v>67.73</v>
      </c>
      <c r="Z17" s="49"/>
      <c r="AA17" s="51"/>
      <c r="AB17" s="47"/>
      <c r="AC17" s="48"/>
      <c r="AD17" s="49"/>
      <c r="AE17" s="51"/>
      <c r="AF17" s="82"/>
      <c r="AG17" s="48"/>
      <c r="AH17" s="49"/>
      <c r="AI17" s="51"/>
      <c r="AJ17" s="82">
        <f>298.5+374.88</f>
        <v>673.38</v>
      </c>
      <c r="AK17" s="48">
        <f>29.85+37.48</f>
        <v>67.33</v>
      </c>
      <c r="AL17" s="49"/>
      <c r="AM17" s="51"/>
      <c r="AN17" s="82">
        <f>580.88+251.83</f>
        <v>832.71</v>
      </c>
      <c r="AO17" s="48">
        <f>59+25.18</f>
        <v>84.18</v>
      </c>
      <c r="AP17" s="49"/>
      <c r="AQ17" s="51"/>
      <c r="AR17" s="47"/>
      <c r="AS17" s="48"/>
      <c r="AT17" s="49"/>
      <c r="AU17" s="51"/>
      <c r="AV17" s="47">
        <f>251.83+580.88</f>
        <v>832.71</v>
      </c>
      <c r="AW17" s="48">
        <f>25.18+59</f>
        <v>84.18</v>
      </c>
      <c r="AX17" s="49"/>
      <c r="AY17" s="50"/>
      <c r="AZ17" s="51">
        <f>214.25+298.19</f>
        <v>512.44000000000005</v>
      </c>
      <c r="BA17" s="48">
        <f>21.42+30</f>
        <v>51.42</v>
      </c>
      <c r="BB17" s="49"/>
      <c r="BC17" s="50"/>
      <c r="BD17" s="51"/>
      <c r="BE17" s="48"/>
      <c r="BF17" s="49"/>
      <c r="BG17" s="50"/>
      <c r="BH17" s="64"/>
      <c r="BI17" s="51">
        <f t="shared" si="3"/>
        <v>5580.380000000001</v>
      </c>
      <c r="BJ17" s="51">
        <f t="shared" si="4"/>
        <v>560.72</v>
      </c>
      <c r="BK17" s="51">
        <f t="shared" si="5"/>
        <v>0</v>
      </c>
      <c r="BL17" s="51">
        <f t="shared" si="6"/>
        <v>0</v>
      </c>
      <c r="BM17" s="51">
        <f t="shared" si="7"/>
        <v>273.61</v>
      </c>
      <c r="BN17" s="51">
        <f t="shared" si="8"/>
        <v>287.11</v>
      </c>
      <c r="BO17" s="51">
        <f t="shared" si="9"/>
        <v>560.72</v>
      </c>
      <c r="BP17" s="51">
        <f t="shared" si="10"/>
        <v>0</v>
      </c>
      <c r="BQ17" s="85">
        <f t="shared" si="11"/>
        <v>0.10048061243141147</v>
      </c>
      <c r="BR17" s="51"/>
      <c r="BS17" s="51"/>
      <c r="BT17" s="51"/>
      <c r="BU17" s="51"/>
      <c r="BV17" s="51"/>
      <c r="BW17" s="51"/>
      <c r="BX17" s="51"/>
      <c r="BY17" s="64"/>
    </row>
    <row r="18" spans="1:77" s="75" customFormat="1" ht="18" x14ac:dyDescent="0.25">
      <c r="A18" s="52">
        <v>4219</v>
      </c>
      <c r="B18" s="86" t="s">
        <v>23</v>
      </c>
      <c r="C18" s="87"/>
      <c r="D18" s="47"/>
      <c r="E18" s="48"/>
      <c r="F18" s="49"/>
      <c r="G18" s="50"/>
      <c r="H18" s="47"/>
      <c r="I18" s="48"/>
      <c r="J18" s="49"/>
      <c r="K18" s="51"/>
      <c r="L18" s="47"/>
      <c r="M18" s="48"/>
      <c r="N18" s="49"/>
      <c r="O18" s="51"/>
      <c r="P18" s="47"/>
      <c r="Q18" s="48"/>
      <c r="R18" s="49"/>
      <c r="S18" s="51"/>
      <c r="T18" s="47"/>
      <c r="U18" s="48"/>
      <c r="V18" s="49"/>
      <c r="W18" s="51"/>
      <c r="X18" s="82"/>
      <c r="Y18" s="48"/>
      <c r="Z18" s="49"/>
      <c r="AA18" s="51"/>
      <c r="AB18" s="47"/>
      <c r="AC18" s="48"/>
      <c r="AD18" s="49"/>
      <c r="AE18" s="51"/>
      <c r="AF18" s="82"/>
      <c r="AG18" s="48"/>
      <c r="AH18" s="49"/>
      <c r="AI18" s="51"/>
      <c r="AJ18" s="82"/>
      <c r="AK18" s="48"/>
      <c r="AL18" s="49"/>
      <c r="AM18" s="51"/>
      <c r="AN18" s="82"/>
      <c r="AO18" s="48"/>
      <c r="AP18" s="49"/>
      <c r="AQ18" s="51"/>
      <c r="AR18" s="47"/>
      <c r="AS18" s="48"/>
      <c r="AT18" s="49"/>
      <c r="AU18" s="51"/>
      <c r="AV18" s="47"/>
      <c r="AW18" s="48"/>
      <c r="AX18" s="49"/>
      <c r="AY18" s="50"/>
      <c r="AZ18" s="47"/>
      <c r="BA18" s="48"/>
      <c r="BB18" s="49"/>
      <c r="BC18" s="50"/>
      <c r="BD18" s="47"/>
      <c r="BE18" s="48"/>
      <c r="BF18" s="49"/>
      <c r="BG18" s="50"/>
      <c r="BH18" s="64"/>
      <c r="BI18" s="51">
        <f t="shared" si="3"/>
        <v>0</v>
      </c>
      <c r="BJ18" s="51">
        <f t="shared" si="4"/>
        <v>0</v>
      </c>
      <c r="BK18" s="51">
        <f t="shared" si="5"/>
        <v>0</v>
      </c>
      <c r="BL18" s="51">
        <f t="shared" si="6"/>
        <v>0</v>
      </c>
      <c r="BM18" s="51">
        <f t="shared" si="7"/>
        <v>0</v>
      </c>
      <c r="BN18" s="51">
        <f t="shared" si="8"/>
        <v>0</v>
      </c>
      <c r="BO18" s="51">
        <f t="shared" si="9"/>
        <v>0</v>
      </c>
      <c r="BP18" s="51">
        <f t="shared" si="10"/>
        <v>0</v>
      </c>
      <c r="BQ18" s="85">
        <f t="shared" si="11"/>
        <v>0</v>
      </c>
      <c r="BR18" s="51"/>
      <c r="BS18" s="51"/>
      <c r="BT18" s="51"/>
      <c r="BU18" s="51"/>
      <c r="BV18" s="51"/>
      <c r="BW18" s="51"/>
      <c r="BX18" s="51"/>
      <c r="BY18" s="64"/>
    </row>
    <row r="19" spans="1:77" s="75" customFormat="1" ht="18" x14ac:dyDescent="0.25">
      <c r="A19" s="52">
        <v>3767</v>
      </c>
      <c r="B19" s="53" t="s">
        <v>97</v>
      </c>
      <c r="C19" s="55"/>
      <c r="D19" s="47">
        <f>427.25</f>
        <v>427.25</v>
      </c>
      <c r="E19" s="48">
        <v>42.75</v>
      </c>
      <c r="F19" s="49"/>
      <c r="G19" s="50"/>
      <c r="H19" s="47"/>
      <c r="I19" s="48"/>
      <c r="J19" s="49"/>
      <c r="K19" s="51"/>
      <c r="L19" s="47"/>
      <c r="M19" s="48"/>
      <c r="N19" s="49"/>
      <c r="O19" s="51"/>
      <c r="P19" s="47"/>
      <c r="Q19" s="48"/>
      <c r="R19" s="49"/>
      <c r="S19" s="51"/>
      <c r="T19" s="47">
        <v>118.71</v>
      </c>
      <c r="U19" s="48">
        <v>11.7</v>
      </c>
      <c r="V19" s="49"/>
      <c r="W19" s="51"/>
      <c r="X19" s="82"/>
      <c r="Y19" s="48"/>
      <c r="Z19" s="49"/>
      <c r="AA19" s="51"/>
      <c r="AB19" s="47"/>
      <c r="AC19" s="48"/>
      <c r="AD19" s="49"/>
      <c r="AE19" s="51"/>
      <c r="AF19" s="82"/>
      <c r="AG19" s="48"/>
      <c r="AH19" s="49"/>
      <c r="AI19" s="51"/>
      <c r="AJ19" s="82"/>
      <c r="AK19" s="48"/>
      <c r="AL19" s="49"/>
      <c r="AM19" s="51"/>
      <c r="AN19" s="101"/>
      <c r="AO19" s="48"/>
      <c r="AP19" s="49"/>
      <c r="AQ19" s="51"/>
      <c r="AR19" s="47"/>
      <c r="AS19" s="48"/>
      <c r="AT19" s="49"/>
      <c r="AU19" s="51"/>
      <c r="AV19" s="47"/>
      <c r="AW19" s="48"/>
      <c r="AX19" s="49"/>
      <c r="AY19" s="50"/>
      <c r="AZ19" s="47"/>
      <c r="BA19" s="48"/>
      <c r="BB19" s="49"/>
      <c r="BC19" s="50"/>
      <c r="BD19" s="47"/>
      <c r="BE19" s="48"/>
      <c r="BF19" s="49"/>
      <c r="BG19" s="50"/>
      <c r="BH19" s="64"/>
      <c r="BI19" s="51">
        <f t="shared" si="3"/>
        <v>545.96</v>
      </c>
      <c r="BJ19" s="51">
        <f t="shared" si="4"/>
        <v>54.45</v>
      </c>
      <c r="BK19" s="51">
        <f t="shared" si="5"/>
        <v>0</v>
      </c>
      <c r="BL19" s="51">
        <f t="shared" si="6"/>
        <v>0</v>
      </c>
      <c r="BM19" s="51">
        <f t="shared" si="7"/>
        <v>54.45</v>
      </c>
      <c r="BN19" s="51">
        <f t="shared" si="8"/>
        <v>0</v>
      </c>
      <c r="BO19" s="51">
        <f t="shared" si="9"/>
        <v>54.45</v>
      </c>
      <c r="BP19" s="51">
        <f t="shared" si="10"/>
        <v>0</v>
      </c>
      <c r="BQ19" s="85">
        <f t="shared" si="11"/>
        <v>9.9732581141475568E-2</v>
      </c>
      <c r="BR19" s="51"/>
      <c r="BS19" s="51"/>
      <c r="BT19" s="51"/>
      <c r="BU19" s="51"/>
      <c r="BV19" s="51"/>
      <c r="BW19" s="51"/>
      <c r="BX19" s="51"/>
      <c r="BY19" s="64"/>
    </row>
    <row r="20" spans="1:77" s="75" customFormat="1" ht="18" x14ac:dyDescent="0.25">
      <c r="A20" s="52">
        <v>5742</v>
      </c>
      <c r="B20" s="53" t="s">
        <v>83</v>
      </c>
      <c r="C20" s="53"/>
      <c r="D20" s="47"/>
      <c r="E20" s="48"/>
      <c r="F20" s="49"/>
      <c r="G20" s="50"/>
      <c r="H20" s="51"/>
      <c r="I20" s="48"/>
      <c r="J20" s="49"/>
      <c r="K20" s="51"/>
      <c r="L20" s="47"/>
      <c r="M20" s="48"/>
      <c r="N20" s="49"/>
      <c r="O20" s="51"/>
      <c r="P20" s="47"/>
      <c r="Q20" s="48"/>
      <c r="R20" s="49"/>
      <c r="S20" s="51"/>
      <c r="T20" s="47"/>
      <c r="U20" s="48"/>
      <c r="V20" s="49"/>
      <c r="W20" s="50"/>
      <c r="X20" s="82"/>
      <c r="Y20" s="48"/>
      <c r="Z20" s="49"/>
      <c r="AA20" s="50"/>
      <c r="AB20" s="47"/>
      <c r="AC20" s="48"/>
      <c r="AD20" s="49"/>
      <c r="AE20" s="50"/>
      <c r="AF20" s="82"/>
      <c r="AG20" s="48"/>
      <c r="AH20" s="49"/>
      <c r="AI20" s="50"/>
      <c r="AJ20" s="82"/>
      <c r="AK20" s="48"/>
      <c r="AL20" s="49"/>
      <c r="AM20" s="51"/>
      <c r="AN20" s="101"/>
      <c r="AO20" s="48"/>
      <c r="AP20" s="49"/>
      <c r="AQ20" s="50"/>
      <c r="AR20" s="47"/>
      <c r="AS20" s="48"/>
      <c r="AT20" s="49"/>
      <c r="AU20" s="51"/>
      <c r="AV20" s="47"/>
      <c r="AW20" s="48"/>
      <c r="AX20" s="49"/>
      <c r="AY20" s="50"/>
      <c r="AZ20" s="51"/>
      <c r="BA20" s="48"/>
      <c r="BB20" s="49"/>
      <c r="BC20" s="50"/>
      <c r="BD20" s="51"/>
      <c r="BE20" s="48"/>
      <c r="BF20" s="49"/>
      <c r="BG20" s="50"/>
      <c r="BH20" s="64"/>
      <c r="BI20" s="51">
        <f t="shared" si="3"/>
        <v>0</v>
      </c>
      <c r="BJ20" s="51">
        <f t="shared" si="4"/>
        <v>0</v>
      </c>
      <c r="BK20" s="51">
        <f t="shared" si="5"/>
        <v>0</v>
      </c>
      <c r="BL20" s="51">
        <f t="shared" si="6"/>
        <v>0</v>
      </c>
      <c r="BM20" s="51">
        <f t="shared" si="7"/>
        <v>0</v>
      </c>
      <c r="BN20" s="51">
        <f t="shared" si="8"/>
        <v>0</v>
      </c>
      <c r="BO20" s="51">
        <f t="shared" si="9"/>
        <v>0</v>
      </c>
      <c r="BP20" s="51">
        <f t="shared" si="10"/>
        <v>0</v>
      </c>
      <c r="BQ20" s="85">
        <f t="shared" si="11"/>
        <v>0</v>
      </c>
      <c r="BR20" s="64"/>
      <c r="BS20" s="64"/>
      <c r="BT20" s="64"/>
      <c r="BU20" s="64"/>
      <c r="BV20" s="64"/>
      <c r="BW20" s="64"/>
      <c r="BX20" s="64"/>
      <c r="BY20" s="64"/>
    </row>
    <row r="21" spans="1:77" s="75" customFormat="1" ht="18" x14ac:dyDescent="0.25">
      <c r="A21" s="52">
        <v>4290</v>
      </c>
      <c r="B21" s="86" t="s">
        <v>80</v>
      </c>
      <c r="C21" s="55"/>
      <c r="D21" s="47">
        <f>218.18+2321.48</f>
        <v>2539.66</v>
      </c>
      <c r="E21" s="48">
        <f>21.81+232</f>
        <v>253.81</v>
      </c>
      <c r="F21" s="49"/>
      <c r="G21" s="50"/>
      <c r="H21" s="47"/>
      <c r="I21" s="48"/>
      <c r="J21" s="49"/>
      <c r="K21" s="51"/>
      <c r="L21" s="47"/>
      <c r="M21" s="48"/>
      <c r="N21" s="49"/>
      <c r="O21" s="51"/>
      <c r="P21" s="96"/>
      <c r="Q21" s="48"/>
      <c r="R21" s="49"/>
      <c r="S21" s="51"/>
      <c r="T21" s="47"/>
      <c r="U21" s="48"/>
      <c r="V21" s="49"/>
      <c r="W21" s="51"/>
      <c r="X21" s="82"/>
      <c r="Y21" s="48"/>
      <c r="Z21" s="49"/>
      <c r="AA21" s="51"/>
      <c r="AB21" s="47">
        <v>2202.9699999999998</v>
      </c>
      <c r="AC21" s="48">
        <v>220</v>
      </c>
      <c r="AD21" s="49"/>
      <c r="AE21" s="51"/>
      <c r="AF21" s="82"/>
      <c r="AG21" s="48"/>
      <c r="AH21" s="49"/>
      <c r="AI21" s="51"/>
      <c r="AJ21" s="82"/>
      <c r="AK21" s="48"/>
      <c r="AL21" s="49"/>
      <c r="AM21" s="51"/>
      <c r="AN21" s="101"/>
      <c r="AO21" s="48"/>
      <c r="AP21" s="49"/>
      <c r="AQ21" s="51"/>
      <c r="AR21" s="47"/>
      <c r="AS21" s="48"/>
      <c r="AT21" s="49"/>
      <c r="AU21" s="51"/>
      <c r="AV21" s="47"/>
      <c r="AW21" s="48"/>
      <c r="AX21" s="49"/>
      <c r="AY21" s="50"/>
      <c r="AZ21" s="47"/>
      <c r="BA21" s="48"/>
      <c r="BB21" s="49"/>
      <c r="BC21" s="50"/>
      <c r="BD21" s="47"/>
      <c r="BE21" s="48"/>
      <c r="BF21" s="49"/>
      <c r="BG21" s="50"/>
      <c r="BH21" s="64"/>
      <c r="BI21" s="51">
        <f t="shared" si="3"/>
        <v>4742.6299999999992</v>
      </c>
      <c r="BJ21" s="51">
        <f t="shared" si="4"/>
        <v>473.81</v>
      </c>
      <c r="BK21" s="51">
        <f t="shared" si="5"/>
        <v>0</v>
      </c>
      <c r="BL21" s="51">
        <f t="shared" si="6"/>
        <v>0</v>
      </c>
      <c r="BM21" s="51">
        <f t="shared" si="7"/>
        <v>473.81</v>
      </c>
      <c r="BN21" s="51">
        <f t="shared" si="8"/>
        <v>0</v>
      </c>
      <c r="BO21" s="51">
        <f t="shared" si="9"/>
        <v>473.81</v>
      </c>
      <c r="BP21" s="51">
        <f t="shared" si="10"/>
        <v>0</v>
      </c>
      <c r="BQ21" s="85">
        <f t="shared" si="11"/>
        <v>9.9904483377366585E-2</v>
      </c>
      <c r="BR21" s="51"/>
      <c r="BS21" s="51"/>
      <c r="BT21" s="51"/>
      <c r="BU21" s="51"/>
      <c r="BV21" s="51"/>
      <c r="BW21" s="51"/>
      <c r="BX21" s="51"/>
      <c r="BY21" s="64"/>
    </row>
    <row r="22" spans="1:77" s="75" customFormat="1" ht="18" x14ac:dyDescent="0.25">
      <c r="A22" s="52">
        <v>3796</v>
      </c>
      <c r="B22" s="53" t="s">
        <v>24</v>
      </c>
      <c r="C22" s="55"/>
      <c r="D22" s="47"/>
      <c r="E22" s="48"/>
      <c r="F22" s="49"/>
      <c r="G22" s="50"/>
      <c r="H22" s="47"/>
      <c r="I22" s="48"/>
      <c r="J22" s="49"/>
      <c r="K22" s="51"/>
      <c r="L22" s="47"/>
      <c r="M22" s="48"/>
      <c r="N22" s="49"/>
      <c r="O22" s="51"/>
      <c r="P22" s="47"/>
      <c r="Q22" s="48"/>
      <c r="R22" s="49"/>
      <c r="S22" s="51"/>
      <c r="T22" s="47"/>
      <c r="U22" s="48"/>
      <c r="V22" s="49"/>
      <c r="W22" s="51"/>
      <c r="X22" s="82"/>
      <c r="Y22" s="48"/>
      <c r="Z22" s="49"/>
      <c r="AA22" s="51"/>
      <c r="AB22" s="47"/>
      <c r="AC22" s="48"/>
      <c r="AD22" s="49"/>
      <c r="AE22" s="51"/>
      <c r="AF22" s="82"/>
      <c r="AG22" s="48"/>
      <c r="AH22" s="49"/>
      <c r="AI22" s="51"/>
      <c r="AJ22" s="82"/>
      <c r="AK22" s="48"/>
      <c r="AL22" s="49"/>
      <c r="AM22" s="51"/>
      <c r="AN22" s="101"/>
      <c r="AO22" s="48"/>
      <c r="AP22" s="49"/>
      <c r="AQ22" s="51"/>
      <c r="AR22" s="47"/>
      <c r="AS22" s="48"/>
      <c r="AT22" s="49"/>
      <c r="AU22" s="51"/>
      <c r="AV22" s="47"/>
      <c r="AW22" s="48"/>
      <c r="AX22" s="49"/>
      <c r="AY22" s="50"/>
      <c r="AZ22" s="47"/>
      <c r="BA22" s="48"/>
      <c r="BB22" s="49"/>
      <c r="BC22" s="50"/>
      <c r="BD22" s="47"/>
      <c r="BE22" s="48"/>
      <c r="BF22" s="49"/>
      <c r="BG22" s="50"/>
      <c r="BH22" s="64"/>
      <c r="BI22" s="51">
        <f t="shared" si="3"/>
        <v>0</v>
      </c>
      <c r="BJ22" s="51">
        <f t="shared" si="4"/>
        <v>0</v>
      </c>
      <c r="BK22" s="51">
        <f t="shared" si="5"/>
        <v>0</v>
      </c>
      <c r="BL22" s="51">
        <f t="shared" si="6"/>
        <v>0</v>
      </c>
      <c r="BM22" s="51">
        <f t="shared" si="7"/>
        <v>0</v>
      </c>
      <c r="BN22" s="51">
        <f t="shared" si="8"/>
        <v>0</v>
      </c>
      <c r="BO22" s="51">
        <f t="shared" si="9"/>
        <v>0</v>
      </c>
      <c r="BP22" s="51">
        <f t="shared" si="10"/>
        <v>0</v>
      </c>
      <c r="BQ22" s="85">
        <f t="shared" si="11"/>
        <v>0</v>
      </c>
      <c r="BR22" s="51"/>
      <c r="BS22" s="51"/>
      <c r="BT22" s="51"/>
      <c r="BU22" s="51"/>
      <c r="BV22" s="51"/>
      <c r="BW22" s="51"/>
      <c r="BX22" s="51"/>
      <c r="BY22" s="64"/>
    </row>
    <row r="23" spans="1:77" s="75" customFormat="1" ht="18" x14ac:dyDescent="0.25">
      <c r="A23" s="52">
        <v>90333</v>
      </c>
      <c r="B23" s="53" t="s">
        <v>26</v>
      </c>
      <c r="C23" s="55"/>
      <c r="D23" s="47"/>
      <c r="E23" s="48"/>
      <c r="F23" s="49"/>
      <c r="G23" s="50"/>
      <c r="H23" s="47"/>
      <c r="I23" s="48"/>
      <c r="J23" s="49"/>
      <c r="K23" s="51"/>
      <c r="L23" s="47"/>
      <c r="M23" s="48"/>
      <c r="N23" s="49"/>
      <c r="O23" s="51"/>
      <c r="P23" s="47"/>
      <c r="Q23" s="48"/>
      <c r="R23" s="49"/>
      <c r="S23" s="51"/>
      <c r="T23" s="47"/>
      <c r="U23" s="48"/>
      <c r="V23" s="49"/>
      <c r="W23" s="51"/>
      <c r="X23" s="82"/>
      <c r="Y23" s="48"/>
      <c r="Z23" s="49"/>
      <c r="AA23" s="51"/>
      <c r="AB23" s="47"/>
      <c r="AC23" s="48"/>
      <c r="AD23" s="49"/>
      <c r="AE23" s="51"/>
      <c r="AF23" s="82"/>
      <c r="AG23" s="48"/>
      <c r="AH23" s="49"/>
      <c r="AI23" s="51"/>
      <c r="AJ23" s="82"/>
      <c r="AK23" s="48"/>
      <c r="AL23" s="49"/>
      <c r="AM23" s="51"/>
      <c r="AN23" s="101"/>
      <c r="AO23" s="48"/>
      <c r="AP23" s="49"/>
      <c r="AQ23" s="51"/>
      <c r="AR23" s="47"/>
      <c r="AS23" s="48"/>
      <c r="AT23" s="49"/>
      <c r="AU23" s="51"/>
      <c r="AV23" s="47"/>
      <c r="AW23" s="48"/>
      <c r="AX23" s="49"/>
      <c r="AY23" s="50"/>
      <c r="AZ23" s="47"/>
      <c r="BA23" s="48"/>
      <c r="BB23" s="49"/>
      <c r="BC23" s="50"/>
      <c r="BD23" s="47"/>
      <c r="BE23" s="48"/>
      <c r="BF23" s="49"/>
      <c r="BG23" s="50"/>
      <c r="BH23" s="64"/>
      <c r="BI23" s="51">
        <f t="shared" si="3"/>
        <v>0</v>
      </c>
      <c r="BJ23" s="51">
        <f t="shared" si="4"/>
        <v>0</v>
      </c>
      <c r="BK23" s="51">
        <f t="shared" si="5"/>
        <v>0</v>
      </c>
      <c r="BL23" s="51">
        <f t="shared" si="6"/>
        <v>0</v>
      </c>
      <c r="BM23" s="51">
        <f t="shared" si="7"/>
        <v>0</v>
      </c>
      <c r="BN23" s="51">
        <f t="shared" si="8"/>
        <v>0</v>
      </c>
      <c r="BO23" s="51">
        <f t="shared" si="9"/>
        <v>0</v>
      </c>
      <c r="BP23" s="51">
        <f t="shared" si="10"/>
        <v>0</v>
      </c>
      <c r="BQ23" s="85">
        <f t="shared" si="11"/>
        <v>0</v>
      </c>
      <c r="BR23" s="51"/>
      <c r="BS23" s="51"/>
      <c r="BT23" s="51"/>
      <c r="BU23" s="51"/>
      <c r="BV23" s="51"/>
      <c r="BW23" s="51"/>
      <c r="BX23" s="51"/>
      <c r="BY23" s="64"/>
    </row>
    <row r="24" spans="1:77" s="75" customFormat="1" ht="18" x14ac:dyDescent="0.25">
      <c r="A24" s="52">
        <v>5824</v>
      </c>
      <c r="B24" s="53" t="s">
        <v>89</v>
      </c>
      <c r="C24" s="55"/>
      <c r="D24" s="47"/>
      <c r="E24" s="48"/>
      <c r="F24" s="49"/>
      <c r="G24" s="50"/>
      <c r="H24" s="51"/>
      <c r="I24" s="48"/>
      <c r="J24" s="49"/>
      <c r="K24" s="51"/>
      <c r="L24" s="47"/>
      <c r="M24" s="48"/>
      <c r="N24" s="49"/>
      <c r="O24" s="51"/>
      <c r="P24" s="96"/>
      <c r="Q24" s="48"/>
      <c r="R24" s="49"/>
      <c r="S24" s="51"/>
      <c r="T24" s="47"/>
      <c r="U24" s="48"/>
      <c r="V24" s="49"/>
      <c r="W24" s="51"/>
      <c r="X24" s="111"/>
      <c r="Y24" s="48"/>
      <c r="Z24" s="49"/>
      <c r="AA24" s="51"/>
      <c r="AB24" s="47"/>
      <c r="AC24" s="48"/>
      <c r="AD24" s="49"/>
      <c r="AE24" s="51"/>
      <c r="AF24" s="82"/>
      <c r="AG24" s="48"/>
      <c r="AH24" s="49"/>
      <c r="AI24" s="51"/>
      <c r="AJ24" s="82"/>
      <c r="AK24" s="48"/>
      <c r="AL24" s="49"/>
      <c r="AM24" s="51"/>
      <c r="AN24" s="82"/>
      <c r="AO24" s="48"/>
      <c r="AP24" s="49"/>
      <c r="AQ24" s="51"/>
      <c r="AR24" s="47"/>
      <c r="AS24" s="48"/>
      <c r="AT24" s="49"/>
      <c r="AU24" s="51"/>
      <c r="AV24" s="47"/>
      <c r="AW24" s="48"/>
      <c r="AX24" s="49"/>
      <c r="AY24" s="50"/>
      <c r="AZ24" s="51"/>
      <c r="BA24" s="48"/>
      <c r="BB24" s="49"/>
      <c r="BC24" s="50"/>
      <c r="BD24" s="51"/>
      <c r="BE24" s="48"/>
      <c r="BF24" s="49"/>
      <c r="BG24" s="50"/>
      <c r="BH24" s="64"/>
      <c r="BI24" s="51">
        <f t="shared" si="3"/>
        <v>0</v>
      </c>
      <c r="BJ24" s="51">
        <f t="shared" si="4"/>
        <v>0</v>
      </c>
      <c r="BK24" s="51">
        <f t="shared" si="5"/>
        <v>0</v>
      </c>
      <c r="BL24" s="51">
        <f t="shared" si="6"/>
        <v>0</v>
      </c>
      <c r="BM24" s="51">
        <f t="shared" si="7"/>
        <v>0</v>
      </c>
      <c r="BN24" s="51">
        <f t="shared" si="8"/>
        <v>0</v>
      </c>
      <c r="BO24" s="51">
        <f t="shared" si="9"/>
        <v>0</v>
      </c>
      <c r="BP24" s="51">
        <f t="shared" si="10"/>
        <v>0</v>
      </c>
      <c r="BQ24" s="85">
        <f t="shared" si="11"/>
        <v>0</v>
      </c>
      <c r="BR24" s="51"/>
      <c r="BS24" s="51"/>
      <c r="BT24" s="51"/>
      <c r="BU24" s="51"/>
      <c r="BV24" s="51"/>
      <c r="BW24" s="51"/>
      <c r="BX24" s="51"/>
      <c r="BY24" s="64"/>
    </row>
    <row r="25" spans="1:77" s="75" customFormat="1" ht="18" x14ac:dyDescent="0.25">
      <c r="A25" s="52">
        <v>5734</v>
      </c>
      <c r="B25" s="53" t="s">
        <v>82</v>
      </c>
      <c r="C25" s="53"/>
      <c r="D25" s="47">
        <f>442.79</f>
        <v>442.79</v>
      </c>
      <c r="E25" s="48">
        <f>44.27</f>
        <v>44.27</v>
      </c>
      <c r="F25" s="49"/>
      <c r="G25" s="50"/>
      <c r="H25" s="47">
        <v>832</v>
      </c>
      <c r="I25" s="48">
        <v>83</v>
      </c>
      <c r="J25" s="49"/>
      <c r="K25" s="51"/>
      <c r="L25" s="47">
        <v>1702.5</v>
      </c>
      <c r="M25" s="48">
        <v>170</v>
      </c>
      <c r="N25" s="49"/>
      <c r="O25" s="51"/>
      <c r="P25" s="47"/>
      <c r="Q25" s="48"/>
      <c r="R25" s="49"/>
      <c r="S25" s="51"/>
      <c r="T25" s="47">
        <v>1376.5</v>
      </c>
      <c r="U25" s="48">
        <v>137</v>
      </c>
      <c r="V25" s="49"/>
      <c r="W25" s="51"/>
      <c r="X25" s="82">
        <v>1681.39</v>
      </c>
      <c r="Y25" s="48">
        <v>168</v>
      </c>
      <c r="Z25" s="49"/>
      <c r="AA25" s="50"/>
      <c r="AB25" s="47"/>
      <c r="AC25" s="48"/>
      <c r="AD25" s="49"/>
      <c r="AE25" s="50"/>
      <c r="AF25" s="82">
        <v>1362.84</v>
      </c>
      <c r="AG25" s="48">
        <v>136</v>
      </c>
      <c r="AH25" s="49"/>
      <c r="AI25" s="50"/>
      <c r="AJ25" s="82">
        <v>421.41</v>
      </c>
      <c r="AK25" s="48">
        <v>42</v>
      </c>
      <c r="AL25" s="49"/>
      <c r="AM25" s="51"/>
      <c r="AN25" s="101"/>
      <c r="AO25" s="48"/>
      <c r="AP25" s="49"/>
      <c r="AQ25" s="50"/>
      <c r="AR25" s="47"/>
      <c r="AS25" s="48"/>
      <c r="AT25" s="49"/>
      <c r="AU25" s="51"/>
      <c r="AV25" s="47"/>
      <c r="AW25" s="48"/>
      <c r="AX25" s="49"/>
      <c r="AY25" s="50"/>
      <c r="AZ25" s="51">
        <f>298.19+444.36</f>
        <v>742.55</v>
      </c>
      <c r="BA25" s="48">
        <f>30+44</f>
        <v>74</v>
      </c>
      <c r="BB25" s="49"/>
      <c r="BC25" s="50"/>
      <c r="BD25" s="51">
        <v>228.01</v>
      </c>
      <c r="BE25" s="48">
        <v>22.8</v>
      </c>
      <c r="BF25" s="49"/>
      <c r="BG25" s="50"/>
      <c r="BH25" s="64"/>
      <c r="BI25" s="51">
        <f t="shared" si="3"/>
        <v>8789.99</v>
      </c>
      <c r="BJ25" s="51">
        <f t="shared" si="4"/>
        <v>877.06999999999994</v>
      </c>
      <c r="BK25" s="51">
        <f t="shared" si="5"/>
        <v>0</v>
      </c>
      <c r="BL25" s="51">
        <f t="shared" si="6"/>
        <v>0</v>
      </c>
      <c r="BM25" s="51">
        <f t="shared" si="7"/>
        <v>602.27</v>
      </c>
      <c r="BN25" s="51">
        <f t="shared" si="8"/>
        <v>274.8</v>
      </c>
      <c r="BO25" s="51">
        <f t="shared" si="9"/>
        <v>877.06999999999994</v>
      </c>
      <c r="BP25" s="51">
        <f t="shared" si="10"/>
        <v>0</v>
      </c>
      <c r="BQ25" s="85">
        <f t="shared" si="11"/>
        <v>9.9780545825421868E-2</v>
      </c>
      <c r="BR25" s="64"/>
      <c r="BS25" s="64"/>
      <c r="BT25" s="64"/>
      <c r="BU25" s="64"/>
      <c r="BV25" s="64"/>
      <c r="BW25" s="64"/>
      <c r="BX25" s="64"/>
      <c r="BY25" s="64"/>
    </row>
    <row r="26" spans="1:77" s="75" customFormat="1" ht="17.25" customHeight="1" x14ac:dyDescent="0.25">
      <c r="A26" s="52">
        <v>5628</v>
      </c>
      <c r="B26" s="53" t="s">
        <v>94</v>
      </c>
      <c r="C26" s="55"/>
      <c r="D26" s="47"/>
      <c r="E26" s="48"/>
      <c r="F26" s="49"/>
      <c r="G26" s="50"/>
      <c r="H26" s="47"/>
      <c r="I26" s="48"/>
      <c r="J26" s="49"/>
      <c r="K26" s="51"/>
      <c r="L26" s="47"/>
      <c r="M26" s="48"/>
      <c r="N26" s="49"/>
      <c r="O26" s="51"/>
      <c r="P26" s="47"/>
      <c r="Q26" s="48"/>
      <c r="R26" s="49"/>
      <c r="S26" s="51"/>
      <c r="T26" s="47"/>
      <c r="U26" s="48"/>
      <c r="V26" s="49"/>
      <c r="W26" s="51"/>
      <c r="X26" s="82"/>
      <c r="Y26" s="48"/>
      <c r="Z26" s="49"/>
      <c r="AA26" s="51"/>
      <c r="AB26" s="47"/>
      <c r="AC26" s="48"/>
      <c r="AD26" s="49"/>
      <c r="AE26" s="51"/>
      <c r="AF26" s="82"/>
      <c r="AG26" s="48"/>
      <c r="AH26" s="49"/>
      <c r="AI26" s="51"/>
      <c r="AJ26" s="82"/>
      <c r="AK26" s="48"/>
      <c r="AL26" s="49"/>
      <c r="AM26" s="51"/>
      <c r="AN26" s="101"/>
      <c r="AO26" s="48"/>
      <c r="AP26" s="49"/>
      <c r="AQ26" s="51"/>
      <c r="AR26" s="47"/>
      <c r="AS26" s="48"/>
      <c r="AT26" s="49"/>
      <c r="AU26" s="51"/>
      <c r="AV26" s="47"/>
      <c r="AW26" s="48"/>
      <c r="AX26" s="49"/>
      <c r="AY26" s="50"/>
      <c r="AZ26" s="47"/>
      <c r="BA26" s="48"/>
      <c r="BB26" s="49"/>
      <c r="BC26" s="50"/>
      <c r="BD26" s="47"/>
      <c r="BE26" s="48"/>
      <c r="BF26" s="49"/>
      <c r="BG26" s="50"/>
      <c r="BH26" s="64"/>
      <c r="BI26" s="51">
        <f t="shared" si="3"/>
        <v>0</v>
      </c>
      <c r="BJ26" s="51">
        <f t="shared" si="4"/>
        <v>0</v>
      </c>
      <c r="BK26" s="51">
        <f t="shared" si="5"/>
        <v>0</v>
      </c>
      <c r="BL26" s="51">
        <f t="shared" si="6"/>
        <v>0</v>
      </c>
      <c r="BM26" s="51">
        <f t="shared" si="7"/>
        <v>0</v>
      </c>
      <c r="BN26" s="51">
        <f t="shared" si="8"/>
        <v>0</v>
      </c>
      <c r="BO26" s="51">
        <f t="shared" si="9"/>
        <v>0</v>
      </c>
      <c r="BP26" s="51">
        <f t="shared" si="10"/>
        <v>0</v>
      </c>
      <c r="BQ26" s="85">
        <f t="shared" si="11"/>
        <v>0</v>
      </c>
      <c r="BR26" s="51"/>
      <c r="BS26" s="51"/>
      <c r="BT26" s="51"/>
      <c r="BU26" s="51"/>
      <c r="BV26" s="51"/>
      <c r="BW26" s="51"/>
      <c r="BX26" s="51"/>
      <c r="BY26" s="64"/>
    </row>
    <row r="27" spans="1:77" s="75" customFormat="1" ht="18" x14ac:dyDescent="0.25">
      <c r="A27" s="52">
        <v>5675</v>
      </c>
      <c r="B27" s="53" t="s">
        <v>81</v>
      </c>
      <c r="C27" s="53"/>
      <c r="D27" s="47"/>
      <c r="E27" s="48"/>
      <c r="F27" s="49"/>
      <c r="G27" s="50"/>
      <c r="H27" s="51"/>
      <c r="I27" s="48"/>
      <c r="J27" s="49"/>
      <c r="K27" s="51"/>
      <c r="L27" s="47"/>
      <c r="M27" s="48"/>
      <c r="N27" s="49"/>
      <c r="O27" s="51"/>
      <c r="P27" s="47"/>
      <c r="Q27" s="48"/>
      <c r="R27" s="49"/>
      <c r="S27" s="51"/>
      <c r="T27" s="47"/>
      <c r="U27" s="48"/>
      <c r="V27" s="49"/>
      <c r="W27" s="51"/>
      <c r="X27" s="82"/>
      <c r="Y27" s="48"/>
      <c r="Z27" s="49"/>
      <c r="AA27" s="50"/>
      <c r="AB27" s="47"/>
      <c r="AC27" s="48"/>
      <c r="AD27" s="49"/>
      <c r="AE27" s="50"/>
      <c r="AF27" s="82"/>
      <c r="AG27" s="48"/>
      <c r="AH27" s="49"/>
      <c r="AI27" s="50"/>
      <c r="AJ27" s="82"/>
      <c r="AK27" s="48"/>
      <c r="AL27" s="49"/>
      <c r="AM27" s="51"/>
      <c r="AN27" s="101"/>
      <c r="AO27" s="48"/>
      <c r="AP27" s="49"/>
      <c r="AQ27" s="50"/>
      <c r="AR27" s="47"/>
      <c r="AS27" s="65"/>
      <c r="AT27" s="49"/>
      <c r="AU27" s="51"/>
      <c r="AV27" s="47"/>
      <c r="AW27" s="48"/>
      <c r="AX27" s="49"/>
      <c r="AY27" s="50"/>
      <c r="AZ27" s="51"/>
      <c r="BA27" s="48"/>
      <c r="BB27" s="49"/>
      <c r="BC27" s="50"/>
      <c r="BD27" s="51"/>
      <c r="BE27" s="48"/>
      <c r="BF27" s="49"/>
      <c r="BG27" s="50"/>
      <c r="BH27" s="64"/>
      <c r="BI27" s="51">
        <f t="shared" si="3"/>
        <v>0</v>
      </c>
      <c r="BJ27" s="51">
        <f t="shared" si="4"/>
        <v>0</v>
      </c>
      <c r="BK27" s="51">
        <f t="shared" si="5"/>
        <v>0</v>
      </c>
      <c r="BL27" s="51">
        <f t="shared" si="6"/>
        <v>0</v>
      </c>
      <c r="BM27" s="51">
        <f t="shared" si="7"/>
        <v>0</v>
      </c>
      <c r="BN27" s="51">
        <f t="shared" si="8"/>
        <v>0</v>
      </c>
      <c r="BO27" s="51">
        <f t="shared" si="9"/>
        <v>0</v>
      </c>
      <c r="BP27" s="51">
        <f t="shared" si="10"/>
        <v>0</v>
      </c>
      <c r="BQ27" s="85">
        <f t="shared" si="11"/>
        <v>0</v>
      </c>
      <c r="BR27" s="64"/>
      <c r="BS27" s="64"/>
      <c r="BT27" s="64"/>
      <c r="BU27" s="64"/>
      <c r="BV27" s="64"/>
      <c r="BW27" s="64"/>
      <c r="BX27" s="64"/>
      <c r="BY27" s="64"/>
    </row>
    <row r="28" spans="1:77" s="75" customFormat="1" ht="18" x14ac:dyDescent="0.25">
      <c r="A28" s="52">
        <v>5893</v>
      </c>
      <c r="B28" s="53" t="s">
        <v>102</v>
      </c>
      <c r="C28" s="55"/>
      <c r="D28" s="51">
        <f>261.83</f>
        <v>261.83</v>
      </c>
      <c r="E28" s="48">
        <f>26.18</f>
        <v>26.18</v>
      </c>
      <c r="F28" s="49"/>
      <c r="G28" s="50"/>
      <c r="H28" s="51"/>
      <c r="I28" s="48"/>
      <c r="J28" s="49"/>
      <c r="K28" s="51"/>
      <c r="L28" s="47"/>
      <c r="M28" s="48"/>
      <c r="N28" s="49"/>
      <c r="O28" s="51"/>
      <c r="P28" s="47"/>
      <c r="Q28" s="48"/>
      <c r="R28" s="49"/>
      <c r="S28" s="51"/>
      <c r="T28" s="47"/>
      <c r="U28" s="48"/>
      <c r="V28" s="49"/>
      <c r="W28" s="51"/>
      <c r="X28" s="82"/>
      <c r="Y28" s="48"/>
      <c r="Z28" s="49"/>
      <c r="AA28" s="50"/>
      <c r="AB28" s="47"/>
      <c r="AC28" s="48"/>
      <c r="AD28" s="49"/>
      <c r="AE28" s="51"/>
      <c r="AF28" s="82">
        <v>821.76</v>
      </c>
      <c r="AG28" s="48">
        <v>82.1</v>
      </c>
      <c r="AH28" s="49"/>
      <c r="AI28" s="51"/>
      <c r="AJ28" s="82"/>
      <c r="AK28" s="48"/>
      <c r="AL28" s="49"/>
      <c r="AM28" s="51"/>
      <c r="AN28" s="101"/>
      <c r="AO28" s="48"/>
      <c r="AP28" s="49"/>
      <c r="AQ28" s="51"/>
      <c r="AR28" s="47"/>
      <c r="AS28" s="48"/>
      <c r="AT28" s="49"/>
      <c r="AU28" s="51"/>
      <c r="AV28" s="47"/>
      <c r="AW28" s="48"/>
      <c r="AX28" s="49"/>
      <c r="AY28" s="50"/>
      <c r="AZ28" s="51"/>
      <c r="BA28" s="48"/>
      <c r="BB28" s="49"/>
      <c r="BC28" s="50"/>
      <c r="BD28" s="51">
        <v>400</v>
      </c>
      <c r="BE28" s="48">
        <v>40</v>
      </c>
      <c r="BF28" s="49"/>
      <c r="BG28" s="50"/>
      <c r="BH28" s="64"/>
      <c r="BI28" s="51">
        <f t="shared" si="3"/>
        <v>1483.59</v>
      </c>
      <c r="BJ28" s="51">
        <f t="shared" si="4"/>
        <v>148.28</v>
      </c>
      <c r="BK28" s="51">
        <f t="shared" si="5"/>
        <v>0</v>
      </c>
      <c r="BL28" s="51">
        <f t="shared" si="6"/>
        <v>0</v>
      </c>
      <c r="BM28" s="51">
        <f t="shared" si="7"/>
        <v>26.18</v>
      </c>
      <c r="BN28" s="51">
        <f t="shared" si="8"/>
        <v>122.1</v>
      </c>
      <c r="BO28" s="51">
        <f t="shared" si="9"/>
        <v>148.28</v>
      </c>
      <c r="BP28" s="51">
        <f t="shared" si="10"/>
        <v>0</v>
      </c>
      <c r="BQ28" s="85">
        <f t="shared" si="11"/>
        <v>9.9946750786942484E-2</v>
      </c>
      <c r="BR28" s="64"/>
      <c r="BS28" s="64"/>
      <c r="BT28" s="64"/>
      <c r="BU28" s="64"/>
      <c r="BV28" s="64"/>
      <c r="BW28" s="64"/>
      <c r="BX28" s="64"/>
      <c r="BY28" s="64"/>
    </row>
    <row r="29" spans="1:77" s="75" customFormat="1" ht="18" x14ac:dyDescent="0.25">
      <c r="A29" s="52">
        <v>93127</v>
      </c>
      <c r="B29" s="53" t="s">
        <v>27</v>
      </c>
      <c r="C29" s="87"/>
      <c r="D29" s="47"/>
      <c r="E29" s="48"/>
      <c r="F29" s="49"/>
      <c r="G29" s="50"/>
      <c r="H29" s="47"/>
      <c r="I29" s="48"/>
      <c r="J29" s="49"/>
      <c r="K29" s="51"/>
      <c r="L29" s="47"/>
      <c r="M29" s="48"/>
      <c r="N29" s="49"/>
      <c r="O29" s="51"/>
      <c r="P29" s="47"/>
      <c r="Q29" s="48"/>
      <c r="R29" s="49"/>
      <c r="S29" s="51"/>
      <c r="T29" s="47"/>
      <c r="U29" s="48"/>
      <c r="V29" s="49"/>
      <c r="W29" s="51"/>
      <c r="X29" s="82"/>
      <c r="Y29" s="48"/>
      <c r="Z29" s="49"/>
      <c r="AA29" s="51"/>
      <c r="AB29" s="47"/>
      <c r="AC29" s="48"/>
      <c r="AD29" s="49"/>
      <c r="AE29" s="51"/>
      <c r="AF29" s="82"/>
      <c r="AG29" s="48"/>
      <c r="AH29" s="49"/>
      <c r="AI29" s="51"/>
      <c r="AJ29" s="82"/>
      <c r="AK29" s="48"/>
      <c r="AL29" s="49"/>
      <c r="AM29" s="51"/>
      <c r="AN29" s="101"/>
      <c r="AO29" s="48"/>
      <c r="AP29" s="49"/>
      <c r="AQ29" s="51"/>
      <c r="AR29" s="47"/>
      <c r="AS29" s="48"/>
      <c r="AT29" s="49"/>
      <c r="AU29" s="51"/>
      <c r="AV29" s="47"/>
      <c r="AW29" s="48"/>
      <c r="AX29" s="49"/>
      <c r="AY29" s="50"/>
      <c r="AZ29" s="47"/>
      <c r="BA29" s="48"/>
      <c r="BB29" s="49"/>
      <c r="BC29" s="50"/>
      <c r="BD29" s="47"/>
      <c r="BE29" s="48"/>
      <c r="BF29" s="49"/>
      <c r="BG29" s="50"/>
      <c r="BH29" s="64"/>
      <c r="BI29" s="51">
        <f t="shared" si="3"/>
        <v>0</v>
      </c>
      <c r="BJ29" s="51">
        <f t="shared" si="4"/>
        <v>0</v>
      </c>
      <c r="BK29" s="51">
        <f t="shared" si="5"/>
        <v>0</v>
      </c>
      <c r="BL29" s="51">
        <f t="shared" si="6"/>
        <v>0</v>
      </c>
      <c r="BM29" s="51">
        <f t="shared" si="7"/>
        <v>0</v>
      </c>
      <c r="BN29" s="51">
        <f t="shared" si="8"/>
        <v>0</v>
      </c>
      <c r="BO29" s="51">
        <f t="shared" si="9"/>
        <v>0</v>
      </c>
      <c r="BP29" s="51">
        <f t="shared" si="10"/>
        <v>0</v>
      </c>
      <c r="BQ29" s="85">
        <f t="shared" si="11"/>
        <v>0</v>
      </c>
      <c r="BR29" s="51"/>
      <c r="BS29" s="51"/>
      <c r="BT29" s="51"/>
      <c r="BU29" s="51"/>
      <c r="BV29" s="51"/>
      <c r="BW29" s="51"/>
      <c r="BX29" s="51"/>
      <c r="BY29" s="64"/>
    </row>
    <row r="30" spans="1:77" s="75" customFormat="1" ht="18" x14ac:dyDescent="0.25">
      <c r="A30" s="52">
        <v>5895</v>
      </c>
      <c r="B30" s="57" t="s">
        <v>101</v>
      </c>
      <c r="C30" s="55"/>
      <c r="D30" s="47"/>
      <c r="E30" s="48"/>
      <c r="F30" s="49"/>
      <c r="G30" s="50"/>
      <c r="H30" s="51"/>
      <c r="I30" s="48"/>
      <c r="J30" s="49"/>
      <c r="K30" s="51"/>
      <c r="L30" s="47"/>
      <c r="M30" s="48"/>
      <c r="N30" s="49"/>
      <c r="O30" s="51"/>
      <c r="P30" s="47"/>
      <c r="Q30" s="48"/>
      <c r="R30" s="49"/>
      <c r="S30" s="51"/>
      <c r="T30" s="47"/>
      <c r="U30" s="48"/>
      <c r="V30" s="49"/>
      <c r="W30" s="51"/>
      <c r="X30" s="82"/>
      <c r="Y30" s="48"/>
      <c r="Z30" s="49"/>
      <c r="AA30" s="50"/>
      <c r="AB30" s="47">
        <v>722.47</v>
      </c>
      <c r="AC30" s="48">
        <v>72.260000000000005</v>
      </c>
      <c r="AD30" s="49"/>
      <c r="AE30" s="50"/>
      <c r="AF30" s="82"/>
      <c r="AG30" s="48"/>
      <c r="AH30" s="49"/>
      <c r="AI30" s="50"/>
      <c r="AJ30" s="82"/>
      <c r="AK30" s="48"/>
      <c r="AL30" s="49"/>
      <c r="AM30" s="51"/>
      <c r="AN30" s="101"/>
      <c r="AO30" s="48"/>
      <c r="AP30" s="49"/>
      <c r="AQ30" s="50"/>
      <c r="AR30" s="47"/>
      <c r="AS30" s="48"/>
      <c r="AT30" s="49"/>
      <c r="AU30" s="51"/>
      <c r="AV30" s="47"/>
      <c r="AW30" s="48"/>
      <c r="AX30" s="49"/>
      <c r="AY30" s="50"/>
      <c r="AZ30" s="51"/>
      <c r="BA30" s="48"/>
      <c r="BB30" s="49"/>
      <c r="BC30" s="50"/>
      <c r="BD30" s="51">
        <f>472.44+228.01</f>
        <v>700.45</v>
      </c>
      <c r="BE30" s="48">
        <f>22.8+47.24</f>
        <v>70.040000000000006</v>
      </c>
      <c r="BF30" s="49"/>
      <c r="BG30" s="50"/>
      <c r="BH30" s="64"/>
      <c r="BI30" s="51">
        <f t="shared" si="3"/>
        <v>1422.92</v>
      </c>
      <c r="BJ30" s="51">
        <f t="shared" si="4"/>
        <v>142.30000000000001</v>
      </c>
      <c r="BK30" s="51">
        <f t="shared" si="5"/>
        <v>0</v>
      </c>
      <c r="BL30" s="51">
        <f t="shared" si="6"/>
        <v>0</v>
      </c>
      <c r="BM30" s="51">
        <f t="shared" si="7"/>
        <v>72.260000000000005</v>
      </c>
      <c r="BN30" s="51">
        <f t="shared" si="8"/>
        <v>70.040000000000006</v>
      </c>
      <c r="BO30" s="51">
        <f t="shared" si="9"/>
        <v>142.30000000000001</v>
      </c>
      <c r="BP30" s="51">
        <f t="shared" si="10"/>
        <v>0</v>
      </c>
      <c r="BQ30" s="85">
        <f t="shared" si="11"/>
        <v>0.10000562224158772</v>
      </c>
      <c r="BR30" s="64"/>
      <c r="BS30" s="64"/>
      <c r="BT30" s="64"/>
      <c r="BU30" s="64"/>
      <c r="BV30" s="64"/>
      <c r="BW30" s="64"/>
      <c r="BX30" s="64"/>
      <c r="BY30" s="64"/>
    </row>
    <row r="31" spans="1:77" s="75" customFormat="1" ht="18" x14ac:dyDescent="0.25">
      <c r="A31" s="52">
        <v>93606</v>
      </c>
      <c r="B31" s="53" t="s">
        <v>28</v>
      </c>
      <c r="C31" s="55"/>
      <c r="D31" s="47"/>
      <c r="E31" s="48"/>
      <c r="F31" s="49"/>
      <c r="G31" s="50"/>
      <c r="H31" s="47"/>
      <c r="I31" s="48"/>
      <c r="J31" s="49"/>
      <c r="K31" s="51"/>
      <c r="L31" s="47"/>
      <c r="M31" s="48"/>
      <c r="N31" s="49"/>
      <c r="O31" s="51"/>
      <c r="P31" s="47"/>
      <c r="Q31" s="48"/>
      <c r="R31" s="49"/>
      <c r="S31" s="51"/>
      <c r="T31" s="47"/>
      <c r="U31" s="48"/>
      <c r="V31" s="49"/>
      <c r="W31" s="51"/>
      <c r="X31" s="82"/>
      <c r="Y31" s="48"/>
      <c r="Z31" s="49"/>
      <c r="AA31" s="51"/>
      <c r="AB31" s="47"/>
      <c r="AC31" s="48"/>
      <c r="AD31" s="49"/>
      <c r="AE31" s="51"/>
      <c r="AF31" s="82"/>
      <c r="AG31" s="48"/>
      <c r="AH31" s="49"/>
      <c r="AI31" s="51"/>
      <c r="AJ31" s="82"/>
      <c r="AK31" s="48"/>
      <c r="AL31" s="49"/>
      <c r="AM31" s="51"/>
      <c r="AN31" s="101"/>
      <c r="AO31" s="48"/>
      <c r="AP31" s="49"/>
      <c r="AQ31" s="51"/>
      <c r="AR31" s="47"/>
      <c r="AS31" s="48"/>
      <c r="AT31" s="49"/>
      <c r="AU31" s="51"/>
      <c r="AV31" s="47"/>
      <c r="AW31" s="48"/>
      <c r="AX31" s="49"/>
      <c r="AY31" s="50"/>
      <c r="AZ31" s="47"/>
      <c r="BA31" s="48"/>
      <c r="BB31" s="49"/>
      <c r="BC31" s="50"/>
      <c r="BD31" s="47"/>
      <c r="BE31" s="48"/>
      <c r="BF31" s="49"/>
      <c r="BG31" s="50"/>
      <c r="BH31" s="64"/>
      <c r="BI31" s="51">
        <f t="shared" si="3"/>
        <v>0</v>
      </c>
      <c r="BJ31" s="51">
        <f t="shared" si="4"/>
        <v>0</v>
      </c>
      <c r="BK31" s="51">
        <f t="shared" si="5"/>
        <v>0</v>
      </c>
      <c r="BL31" s="51">
        <f t="shared" si="6"/>
        <v>0</v>
      </c>
      <c r="BM31" s="51">
        <f t="shared" si="7"/>
        <v>0</v>
      </c>
      <c r="BN31" s="51">
        <f t="shared" si="8"/>
        <v>0</v>
      </c>
      <c r="BO31" s="51">
        <f t="shared" si="9"/>
        <v>0</v>
      </c>
      <c r="BP31" s="51">
        <f t="shared" si="10"/>
        <v>0</v>
      </c>
      <c r="BQ31" s="85">
        <f t="shared" si="11"/>
        <v>0</v>
      </c>
      <c r="BR31" s="51"/>
      <c r="BS31" s="51"/>
      <c r="BT31" s="51"/>
      <c r="BU31" s="51"/>
      <c r="BV31" s="51"/>
      <c r="BW31" s="51"/>
      <c r="BX31" s="51"/>
      <c r="BY31" s="64"/>
    </row>
    <row r="32" spans="1:77" s="75" customFormat="1" ht="18" x14ac:dyDescent="0.25">
      <c r="A32" s="52">
        <v>92908</v>
      </c>
      <c r="B32" s="53" t="s">
        <v>29</v>
      </c>
      <c r="C32" s="55"/>
      <c r="D32" s="47"/>
      <c r="E32" s="48"/>
      <c r="F32" s="51"/>
      <c r="G32" s="50"/>
      <c r="H32" s="47"/>
      <c r="I32" s="48"/>
      <c r="J32" s="49"/>
      <c r="K32" s="51"/>
      <c r="L32" s="47"/>
      <c r="M32" s="48"/>
      <c r="N32" s="49"/>
      <c r="O32" s="51"/>
      <c r="P32" s="47"/>
      <c r="Q32" s="48"/>
      <c r="R32" s="49"/>
      <c r="S32" s="51"/>
      <c r="T32" s="47"/>
      <c r="U32" s="48"/>
      <c r="V32" s="49"/>
      <c r="W32" s="51"/>
      <c r="X32" s="82"/>
      <c r="Y32" s="48"/>
      <c r="Z32" s="49"/>
      <c r="AA32" s="51"/>
      <c r="AB32" s="47"/>
      <c r="AC32" s="48"/>
      <c r="AD32" s="49"/>
      <c r="AE32" s="51"/>
      <c r="AF32" s="82"/>
      <c r="AG32" s="48"/>
      <c r="AH32" s="49"/>
      <c r="AI32" s="51"/>
      <c r="AJ32" s="82"/>
      <c r="AK32" s="48"/>
      <c r="AL32" s="49"/>
      <c r="AM32" s="51"/>
      <c r="AN32" s="101"/>
      <c r="AO32" s="48"/>
      <c r="AP32" s="49"/>
      <c r="AQ32" s="50"/>
      <c r="AR32" s="47"/>
      <c r="AS32" s="48"/>
      <c r="AT32" s="51"/>
      <c r="AU32" s="51"/>
      <c r="AV32" s="47"/>
      <c r="AW32" s="48"/>
      <c r="AX32" s="49"/>
      <c r="AY32" s="50"/>
      <c r="AZ32" s="47"/>
      <c r="BA32" s="48"/>
      <c r="BB32" s="49"/>
      <c r="BC32" s="50"/>
      <c r="BD32" s="47"/>
      <c r="BE32" s="98"/>
      <c r="BF32" s="51"/>
      <c r="BG32" s="50"/>
      <c r="BH32" s="64"/>
      <c r="BI32" s="51">
        <f t="shared" si="3"/>
        <v>0</v>
      </c>
      <c r="BJ32" s="51">
        <f t="shared" si="4"/>
        <v>0</v>
      </c>
      <c r="BK32" s="51">
        <f t="shared" si="5"/>
        <v>0</v>
      </c>
      <c r="BL32" s="51">
        <f t="shared" si="6"/>
        <v>0</v>
      </c>
      <c r="BM32" s="51">
        <f t="shared" si="7"/>
        <v>0</v>
      </c>
      <c r="BN32" s="51">
        <f t="shared" si="8"/>
        <v>0</v>
      </c>
      <c r="BO32" s="51">
        <f t="shared" si="9"/>
        <v>0</v>
      </c>
      <c r="BP32" s="51">
        <f t="shared" si="10"/>
        <v>0</v>
      </c>
      <c r="BQ32" s="85">
        <f t="shared" si="11"/>
        <v>0</v>
      </c>
      <c r="BR32" s="51"/>
      <c r="BS32" s="51"/>
      <c r="BT32" s="51"/>
      <c r="BU32" s="51"/>
      <c r="BV32" s="51"/>
      <c r="BW32" s="51"/>
      <c r="BX32" s="51"/>
      <c r="BY32" s="64"/>
    </row>
    <row r="33" spans="1:77" s="75" customFormat="1" ht="18" x14ac:dyDescent="0.25">
      <c r="A33" s="52">
        <v>4100</v>
      </c>
      <c r="B33" s="53" t="s">
        <v>30</v>
      </c>
      <c r="C33" s="55"/>
      <c r="D33" s="47"/>
      <c r="E33" s="48"/>
      <c r="F33" s="49"/>
      <c r="G33" s="50"/>
      <c r="H33" s="47"/>
      <c r="I33" s="48"/>
      <c r="J33" s="49"/>
      <c r="K33" s="51"/>
      <c r="L33" s="47"/>
      <c r="M33" s="48"/>
      <c r="N33" s="49"/>
      <c r="O33" s="51"/>
      <c r="P33" s="96"/>
      <c r="Q33" s="48"/>
      <c r="R33" s="49"/>
      <c r="S33" s="51"/>
      <c r="T33" s="47"/>
      <c r="U33" s="48"/>
      <c r="V33" s="49"/>
      <c r="W33" s="51"/>
      <c r="X33" s="82"/>
      <c r="Y33" s="48"/>
      <c r="Z33" s="49"/>
      <c r="AA33" s="51"/>
      <c r="AB33" s="47"/>
      <c r="AC33" s="48"/>
      <c r="AD33" s="49"/>
      <c r="AE33" s="51"/>
      <c r="AF33" s="82"/>
      <c r="AG33" s="48"/>
      <c r="AH33" s="49"/>
      <c r="AI33" s="51"/>
      <c r="AJ33" s="82"/>
      <c r="AK33" s="48"/>
      <c r="AL33" s="49"/>
      <c r="AM33" s="51"/>
      <c r="AN33" s="101"/>
      <c r="AO33" s="48"/>
      <c r="AP33" s="49"/>
      <c r="AQ33" s="51"/>
      <c r="AR33" s="47"/>
      <c r="AS33" s="48"/>
      <c r="AT33" s="49"/>
      <c r="AU33" s="51"/>
      <c r="AV33" s="47"/>
      <c r="AW33" s="48"/>
      <c r="AX33" s="49"/>
      <c r="AY33" s="50"/>
      <c r="AZ33" s="47"/>
      <c r="BA33" s="48"/>
      <c r="BB33" s="49"/>
      <c r="BC33" s="50"/>
      <c r="BD33" s="47"/>
      <c r="BE33" s="48"/>
      <c r="BF33" s="49"/>
      <c r="BG33" s="50"/>
      <c r="BH33" s="64"/>
      <c r="BI33" s="51">
        <f t="shared" si="3"/>
        <v>0</v>
      </c>
      <c r="BJ33" s="51">
        <f t="shared" si="4"/>
        <v>0</v>
      </c>
      <c r="BK33" s="51">
        <f t="shared" si="5"/>
        <v>0</v>
      </c>
      <c r="BL33" s="51">
        <f t="shared" si="6"/>
        <v>0</v>
      </c>
      <c r="BM33" s="51">
        <f t="shared" si="7"/>
        <v>0</v>
      </c>
      <c r="BN33" s="51">
        <f t="shared" si="8"/>
        <v>0</v>
      </c>
      <c r="BO33" s="51">
        <f t="shared" si="9"/>
        <v>0</v>
      </c>
      <c r="BP33" s="51">
        <f t="shared" si="10"/>
        <v>0</v>
      </c>
      <c r="BQ33" s="85">
        <f t="shared" si="11"/>
        <v>0</v>
      </c>
      <c r="BR33" s="51"/>
      <c r="BS33" s="51"/>
      <c r="BT33" s="51"/>
      <c r="BU33" s="51"/>
      <c r="BV33" s="51"/>
      <c r="BW33" s="51"/>
      <c r="BX33" s="51"/>
      <c r="BY33" s="64"/>
    </row>
    <row r="34" spans="1:77" s="75" customFormat="1" ht="18" x14ac:dyDescent="0.25">
      <c r="A34" s="52">
        <v>5131</v>
      </c>
      <c r="B34" s="53" t="s">
        <v>65</v>
      </c>
      <c r="C34" s="55"/>
      <c r="D34" s="47"/>
      <c r="E34" s="48"/>
      <c r="F34" s="49"/>
      <c r="G34" s="50"/>
      <c r="H34" s="51">
        <v>534.79999999999995</v>
      </c>
      <c r="I34" s="48">
        <v>54.6</v>
      </c>
      <c r="J34" s="49"/>
      <c r="K34" s="51"/>
      <c r="L34" s="47">
        <f>229.25+285.5</f>
        <v>514.75</v>
      </c>
      <c r="M34" s="48">
        <f>22.92+29</f>
        <v>51.92</v>
      </c>
      <c r="N34" s="49"/>
      <c r="O34" s="51"/>
      <c r="P34" s="47">
        <v>501.93</v>
      </c>
      <c r="Q34" s="48">
        <v>50.19</v>
      </c>
      <c r="R34" s="49"/>
      <c r="S34" s="51"/>
      <c r="T34" s="47">
        <f>270.42+767.75</f>
        <v>1038.17</v>
      </c>
      <c r="U34" s="48">
        <f>27+76.77</f>
        <v>103.77</v>
      </c>
      <c r="V34" s="49"/>
      <c r="W34" s="51"/>
      <c r="X34" s="82">
        <v>303.12</v>
      </c>
      <c r="Y34" s="48">
        <v>30.31</v>
      </c>
      <c r="Z34" s="49"/>
      <c r="AA34" s="51"/>
      <c r="AB34" s="47"/>
      <c r="AC34" s="48"/>
      <c r="AD34" s="49"/>
      <c r="AE34" s="51"/>
      <c r="AF34" s="82"/>
      <c r="AG34" s="48"/>
      <c r="AH34" s="49"/>
      <c r="AI34" s="51"/>
      <c r="AJ34" s="82">
        <f>298.5</f>
        <v>298.5</v>
      </c>
      <c r="AK34" s="48">
        <f>29.85</f>
        <v>29.85</v>
      </c>
      <c r="AL34" s="49"/>
      <c r="AM34" s="51"/>
      <c r="AN34" s="82">
        <f>251.83</f>
        <v>251.83</v>
      </c>
      <c r="AO34" s="48">
        <f>25.18</f>
        <v>25.18</v>
      </c>
      <c r="AP34" s="49"/>
      <c r="AQ34" s="51"/>
      <c r="AR34" s="47">
        <f>176.75+330.66</f>
        <v>507.41</v>
      </c>
      <c r="AS34" s="48">
        <f>18+33</f>
        <v>51</v>
      </c>
      <c r="AT34" s="49"/>
      <c r="AU34" s="51"/>
      <c r="AV34" s="47">
        <v>251.83</v>
      </c>
      <c r="AW34" s="48">
        <v>25.18</v>
      </c>
      <c r="AX34" s="49"/>
      <c r="AY34" s="50"/>
      <c r="AZ34" s="51">
        <f>214.25+298.19</f>
        <v>512.44000000000005</v>
      </c>
      <c r="BA34" s="48">
        <f>21.42+30</f>
        <v>51.42</v>
      </c>
      <c r="BB34" s="49"/>
      <c r="BC34" s="50"/>
      <c r="BD34" s="47"/>
      <c r="BE34" s="48"/>
      <c r="BF34" s="49"/>
      <c r="BG34" s="50"/>
      <c r="BH34" s="64"/>
      <c r="BI34" s="51">
        <f t="shared" si="3"/>
        <v>4714.7800000000007</v>
      </c>
      <c r="BJ34" s="51">
        <f t="shared" si="4"/>
        <v>473.42000000000007</v>
      </c>
      <c r="BK34" s="51">
        <f t="shared" si="5"/>
        <v>0</v>
      </c>
      <c r="BL34" s="51">
        <f t="shared" si="6"/>
        <v>0</v>
      </c>
      <c r="BM34" s="51">
        <f t="shared" si="7"/>
        <v>290.79000000000002</v>
      </c>
      <c r="BN34" s="51">
        <f t="shared" si="8"/>
        <v>182.63</v>
      </c>
      <c r="BO34" s="51">
        <f t="shared" si="9"/>
        <v>473.42000000000007</v>
      </c>
      <c r="BP34" s="51">
        <f t="shared" si="10"/>
        <v>0</v>
      </c>
      <c r="BQ34" s="85">
        <f t="shared" si="11"/>
        <v>0.10041189620724615</v>
      </c>
      <c r="BR34" s="51"/>
      <c r="BS34" s="51"/>
      <c r="BT34" s="51"/>
      <c r="BU34" s="51"/>
      <c r="BV34" s="51"/>
      <c r="BW34" s="51"/>
      <c r="BX34" s="51"/>
      <c r="BY34" s="64"/>
    </row>
    <row r="35" spans="1:77" s="75" customFormat="1" ht="18" x14ac:dyDescent="0.25">
      <c r="A35" s="52">
        <v>92484</v>
      </c>
      <c r="B35" s="53" t="s">
        <v>31</v>
      </c>
      <c r="C35" s="55"/>
      <c r="D35" s="47">
        <f>427.27</f>
        <v>427.27</v>
      </c>
      <c r="E35" s="48">
        <v>42.75</v>
      </c>
      <c r="F35" s="49"/>
      <c r="G35" s="50"/>
      <c r="H35" s="47"/>
      <c r="I35" s="48"/>
      <c r="J35" s="49"/>
      <c r="K35" s="51"/>
      <c r="L35" s="47"/>
      <c r="M35" s="48"/>
      <c r="N35" s="49"/>
      <c r="O35" s="51"/>
      <c r="P35" s="47"/>
      <c r="Q35" s="48"/>
      <c r="R35" s="49"/>
      <c r="S35" s="51"/>
      <c r="T35" s="47"/>
      <c r="U35" s="48"/>
      <c r="V35" s="49"/>
      <c r="W35" s="51"/>
      <c r="X35" s="82"/>
      <c r="Y35" s="48"/>
      <c r="Z35" s="49"/>
      <c r="AA35" s="51"/>
      <c r="AB35" s="47"/>
      <c r="AC35" s="48"/>
      <c r="AD35" s="49"/>
      <c r="AE35" s="51"/>
      <c r="AF35" s="82"/>
      <c r="AG35" s="48"/>
      <c r="AH35" s="49"/>
      <c r="AI35" s="51"/>
      <c r="AJ35" s="82"/>
      <c r="AK35" s="48"/>
      <c r="AL35" s="49"/>
      <c r="AM35" s="51"/>
      <c r="AN35" s="101"/>
      <c r="AO35" s="48"/>
      <c r="AP35" s="49"/>
      <c r="AQ35" s="51"/>
      <c r="AR35" s="47"/>
      <c r="AS35" s="48"/>
      <c r="AT35" s="49"/>
      <c r="AU35" s="51"/>
      <c r="AV35" s="47"/>
      <c r="AW35" s="48"/>
      <c r="AX35" s="49"/>
      <c r="AY35" s="50"/>
      <c r="AZ35" s="47"/>
      <c r="BA35" s="48"/>
      <c r="BB35" s="49"/>
      <c r="BC35" s="50"/>
      <c r="BD35" s="47">
        <v>200.87</v>
      </c>
      <c r="BE35" s="48">
        <v>20</v>
      </c>
      <c r="BF35" s="49"/>
      <c r="BG35" s="50"/>
      <c r="BH35" s="64"/>
      <c r="BI35" s="51">
        <f t="shared" si="3"/>
        <v>628.14</v>
      </c>
      <c r="BJ35" s="51">
        <f t="shared" si="4"/>
        <v>62.75</v>
      </c>
      <c r="BK35" s="51">
        <f t="shared" si="5"/>
        <v>0</v>
      </c>
      <c r="BL35" s="51">
        <f t="shared" si="6"/>
        <v>0</v>
      </c>
      <c r="BM35" s="51">
        <f t="shared" si="7"/>
        <v>42.75</v>
      </c>
      <c r="BN35" s="51">
        <f t="shared" si="8"/>
        <v>20</v>
      </c>
      <c r="BO35" s="51">
        <f t="shared" si="9"/>
        <v>62.75</v>
      </c>
      <c r="BP35" s="51">
        <f t="shared" si="10"/>
        <v>0</v>
      </c>
      <c r="BQ35" s="85">
        <f t="shared" si="11"/>
        <v>9.9898111885885321E-2</v>
      </c>
      <c r="BR35" s="51"/>
      <c r="BS35" s="51"/>
      <c r="BT35" s="51"/>
      <c r="BU35" s="51"/>
      <c r="BV35" s="51"/>
      <c r="BW35" s="51"/>
      <c r="BX35" s="51"/>
      <c r="BY35" s="64"/>
    </row>
    <row r="36" spans="1:77" s="75" customFormat="1" ht="18" x14ac:dyDescent="0.25">
      <c r="A36" s="52">
        <v>5534</v>
      </c>
      <c r="B36" s="53" t="s">
        <v>76</v>
      </c>
      <c r="C36" s="55"/>
      <c r="D36" s="47"/>
      <c r="E36" s="48"/>
      <c r="F36" s="49"/>
      <c r="G36" s="50"/>
      <c r="H36" s="47"/>
      <c r="I36" s="48"/>
      <c r="J36" s="49"/>
      <c r="K36" s="51"/>
      <c r="L36" s="47"/>
      <c r="M36" s="48"/>
      <c r="N36" s="49"/>
      <c r="O36" s="51"/>
      <c r="P36" s="47"/>
      <c r="Q36" s="48"/>
      <c r="R36" s="49"/>
      <c r="S36" s="51"/>
      <c r="T36" s="47"/>
      <c r="U36" s="48"/>
      <c r="V36" s="49"/>
      <c r="W36" s="51"/>
      <c r="X36" s="82"/>
      <c r="Y36" s="48"/>
      <c r="Z36" s="49"/>
      <c r="AA36" s="51"/>
      <c r="AB36" s="47"/>
      <c r="AC36" s="48"/>
      <c r="AD36" s="49"/>
      <c r="AE36" s="51"/>
      <c r="AF36" s="82"/>
      <c r="AG36" s="48"/>
      <c r="AH36" s="49"/>
      <c r="AI36" s="51"/>
      <c r="AJ36" s="82"/>
      <c r="AK36" s="48"/>
      <c r="AL36" s="49"/>
      <c r="AM36" s="51"/>
      <c r="AN36" s="101"/>
      <c r="AO36" s="48"/>
      <c r="AP36" s="49"/>
      <c r="AQ36" s="51"/>
      <c r="AR36" s="47"/>
      <c r="AS36" s="48"/>
      <c r="AT36" s="49"/>
      <c r="AU36" s="51"/>
      <c r="AV36" s="47"/>
      <c r="AW36" s="48"/>
      <c r="AX36" s="49"/>
      <c r="AY36" s="50"/>
      <c r="AZ36" s="47"/>
      <c r="BA36" s="48"/>
      <c r="BB36" s="49"/>
      <c r="BC36" s="50"/>
      <c r="BD36" s="47"/>
      <c r="BE36" s="48"/>
      <c r="BF36" s="49"/>
      <c r="BG36" s="50"/>
      <c r="BH36" s="64"/>
      <c r="BI36" s="51">
        <f t="shared" si="3"/>
        <v>0</v>
      </c>
      <c r="BJ36" s="51">
        <f t="shared" si="4"/>
        <v>0</v>
      </c>
      <c r="BK36" s="51">
        <f t="shared" si="5"/>
        <v>0</v>
      </c>
      <c r="BL36" s="51">
        <f t="shared" si="6"/>
        <v>0</v>
      </c>
      <c r="BM36" s="51">
        <f t="shared" si="7"/>
        <v>0</v>
      </c>
      <c r="BN36" s="51">
        <f t="shared" si="8"/>
        <v>0</v>
      </c>
      <c r="BO36" s="51">
        <f t="shared" si="9"/>
        <v>0</v>
      </c>
      <c r="BP36" s="51">
        <f t="shared" si="10"/>
        <v>0</v>
      </c>
      <c r="BQ36" s="85">
        <f t="shared" si="11"/>
        <v>0</v>
      </c>
      <c r="BR36" s="51"/>
      <c r="BS36" s="51"/>
      <c r="BT36" s="51"/>
      <c r="BU36" s="51"/>
      <c r="BV36" s="51"/>
      <c r="BW36" s="51"/>
      <c r="BX36" s="51"/>
      <c r="BY36" s="64"/>
    </row>
    <row r="37" spans="1:77" s="75" customFormat="1" ht="18" x14ac:dyDescent="0.25">
      <c r="A37" s="52">
        <v>5812</v>
      </c>
      <c r="B37" s="53" t="s">
        <v>87</v>
      </c>
      <c r="C37" s="53"/>
      <c r="D37" s="47">
        <f>708.48</f>
        <v>708.48</v>
      </c>
      <c r="E37" s="48">
        <v>70.84</v>
      </c>
      <c r="F37" s="49"/>
      <c r="G37" s="50"/>
      <c r="H37" s="47"/>
      <c r="I37" s="48"/>
      <c r="J37" s="49"/>
      <c r="K37" s="51"/>
      <c r="L37" s="47">
        <f>285.5+229.25</f>
        <v>514.75</v>
      </c>
      <c r="M37" s="48">
        <f>29+22.92</f>
        <v>51.92</v>
      </c>
      <c r="N37" s="49"/>
      <c r="O37" s="51"/>
      <c r="P37" s="47">
        <v>954.12</v>
      </c>
      <c r="Q37" s="48">
        <v>95</v>
      </c>
      <c r="R37" s="49"/>
      <c r="S37" s="51"/>
      <c r="T37" s="47"/>
      <c r="U37" s="48"/>
      <c r="V37" s="49"/>
      <c r="W37" s="50"/>
      <c r="X37" s="82">
        <f>303.12+537.59</f>
        <v>840.71</v>
      </c>
      <c r="Y37" s="48">
        <f>30.31+53.75</f>
        <v>84.06</v>
      </c>
      <c r="Z37" s="49"/>
      <c r="AA37" s="50"/>
      <c r="AB37" s="47">
        <f>722.46+1855.2</f>
        <v>2577.66</v>
      </c>
      <c r="AC37" s="48">
        <f>72.26+185</f>
        <v>257.26</v>
      </c>
      <c r="AD37" s="49"/>
      <c r="AE37" s="50"/>
      <c r="AF37" s="82">
        <v>1362.83</v>
      </c>
      <c r="AG37" s="48">
        <v>136</v>
      </c>
      <c r="AH37" s="49"/>
      <c r="AI37" s="50"/>
      <c r="AJ37" s="82">
        <f>136.5+68.01+374.87+295.44</f>
        <v>874.81999999999994</v>
      </c>
      <c r="AK37" s="48">
        <f>13.65+6.8+37.48+29</f>
        <v>86.929999999999993</v>
      </c>
      <c r="AL37" s="49"/>
      <c r="AM37" s="50"/>
      <c r="AN37" s="101"/>
      <c r="AO37" s="48"/>
      <c r="AP37" s="49"/>
      <c r="AQ37" s="50"/>
      <c r="AR37" s="47"/>
      <c r="AS37" s="48"/>
      <c r="AT37" s="49"/>
      <c r="AU37" s="51"/>
      <c r="AV37" s="47"/>
      <c r="AW37" s="48"/>
      <c r="AX37" s="49"/>
      <c r="AY37" s="50"/>
      <c r="AZ37" s="51">
        <f>214.25+298.19</f>
        <v>512.44000000000005</v>
      </c>
      <c r="BA37" s="48">
        <f>21.42+30</f>
        <v>51.42</v>
      </c>
      <c r="BB37" s="49"/>
      <c r="BC37" s="50"/>
      <c r="BD37" s="51">
        <f>472.44+228.01</f>
        <v>700.45</v>
      </c>
      <c r="BE37" s="48">
        <f>22.8+47.24</f>
        <v>70.040000000000006</v>
      </c>
      <c r="BF37" s="49"/>
      <c r="BG37" s="50"/>
      <c r="BH37" s="64"/>
      <c r="BI37" s="51">
        <f t="shared" si="3"/>
        <v>9046.26</v>
      </c>
      <c r="BJ37" s="51">
        <f t="shared" si="4"/>
        <v>903.4699999999998</v>
      </c>
      <c r="BK37" s="51">
        <f t="shared" si="5"/>
        <v>0</v>
      </c>
      <c r="BL37" s="51">
        <f t="shared" si="6"/>
        <v>0</v>
      </c>
      <c r="BM37" s="51">
        <f t="shared" si="7"/>
        <v>559.07999999999993</v>
      </c>
      <c r="BN37" s="51">
        <f t="shared" si="8"/>
        <v>344.39000000000004</v>
      </c>
      <c r="BO37" s="51">
        <f t="shared" si="9"/>
        <v>903.4699999999998</v>
      </c>
      <c r="BP37" s="51">
        <f t="shared" si="10"/>
        <v>0</v>
      </c>
      <c r="BQ37" s="85">
        <f t="shared" si="11"/>
        <v>9.9872212383902273E-2</v>
      </c>
      <c r="BR37" s="64"/>
      <c r="BS37" s="64"/>
      <c r="BT37" s="64"/>
      <c r="BU37" s="64"/>
      <c r="BV37" s="64"/>
      <c r="BW37" s="64"/>
      <c r="BX37" s="64"/>
      <c r="BY37" s="64"/>
    </row>
    <row r="38" spans="1:77" s="75" customFormat="1" ht="18" x14ac:dyDescent="0.25">
      <c r="A38" s="52">
        <v>4101</v>
      </c>
      <c r="B38" s="53" t="s">
        <v>32</v>
      </c>
      <c r="C38" s="55"/>
      <c r="D38" s="47"/>
      <c r="E38" s="48"/>
      <c r="F38" s="49"/>
      <c r="G38" s="50"/>
      <c r="H38" s="47"/>
      <c r="I38" s="48"/>
      <c r="J38" s="49"/>
      <c r="K38" s="51"/>
      <c r="L38" s="47"/>
      <c r="M38" s="48"/>
      <c r="N38" s="49"/>
      <c r="O38" s="51"/>
      <c r="P38" s="47"/>
      <c r="Q38" s="48"/>
      <c r="R38" s="49"/>
      <c r="S38" s="51"/>
      <c r="T38" s="47"/>
      <c r="U38" s="48"/>
      <c r="V38" s="49"/>
      <c r="W38" s="51"/>
      <c r="X38" s="82"/>
      <c r="Y38" s="48"/>
      <c r="Z38" s="49"/>
      <c r="AA38" s="51"/>
      <c r="AB38" s="47"/>
      <c r="AC38" s="48"/>
      <c r="AD38" s="49"/>
      <c r="AE38" s="51"/>
      <c r="AF38" s="82"/>
      <c r="AG38" s="48"/>
      <c r="AH38" s="49"/>
      <c r="AI38" s="51"/>
      <c r="AJ38" s="82"/>
      <c r="AK38" s="48"/>
      <c r="AL38" s="49"/>
      <c r="AM38" s="51"/>
      <c r="AN38" s="101"/>
      <c r="AO38" s="48"/>
      <c r="AP38" s="49"/>
      <c r="AQ38" s="51"/>
      <c r="AR38" s="47"/>
      <c r="AS38" s="48"/>
      <c r="AT38" s="49"/>
      <c r="AU38" s="51"/>
      <c r="AV38" s="47"/>
      <c r="AW38" s="48"/>
      <c r="AX38" s="49"/>
      <c r="AY38" s="50"/>
      <c r="AZ38" s="47"/>
      <c r="BA38" s="48"/>
      <c r="BB38" s="49"/>
      <c r="BC38" s="50"/>
      <c r="BD38" s="47"/>
      <c r="BE38" s="48"/>
      <c r="BF38" s="49"/>
      <c r="BG38" s="50"/>
      <c r="BH38" s="64"/>
      <c r="BI38" s="51">
        <f t="shared" si="3"/>
        <v>0</v>
      </c>
      <c r="BJ38" s="51">
        <f t="shared" si="4"/>
        <v>0</v>
      </c>
      <c r="BK38" s="51">
        <f t="shared" si="5"/>
        <v>0</v>
      </c>
      <c r="BL38" s="51">
        <f t="shared" si="6"/>
        <v>0</v>
      </c>
      <c r="BM38" s="51">
        <f t="shared" si="7"/>
        <v>0</v>
      </c>
      <c r="BN38" s="51">
        <f t="shared" si="8"/>
        <v>0</v>
      </c>
      <c r="BO38" s="51">
        <f t="shared" si="9"/>
        <v>0</v>
      </c>
      <c r="BP38" s="51">
        <f t="shared" si="10"/>
        <v>0</v>
      </c>
      <c r="BQ38" s="85">
        <f t="shared" si="11"/>
        <v>0</v>
      </c>
      <c r="BR38" s="51"/>
      <c r="BS38" s="51"/>
      <c r="BT38" s="51"/>
      <c r="BU38" s="51"/>
      <c r="BV38" s="51"/>
      <c r="BW38" s="51"/>
      <c r="BX38" s="51"/>
      <c r="BY38" s="64"/>
    </row>
    <row r="39" spans="1:77" s="75" customFormat="1" ht="18" x14ac:dyDescent="0.25">
      <c r="A39" s="52">
        <v>4600</v>
      </c>
      <c r="B39" s="53" t="s">
        <v>33</v>
      </c>
      <c r="C39" s="55"/>
      <c r="D39" s="47"/>
      <c r="E39" s="48"/>
      <c r="F39" s="49"/>
      <c r="G39" s="50"/>
      <c r="H39" s="47"/>
      <c r="I39" s="48"/>
      <c r="J39" s="49"/>
      <c r="K39" s="51"/>
      <c r="L39" s="47"/>
      <c r="M39" s="48"/>
      <c r="N39" s="49"/>
      <c r="O39" s="51"/>
      <c r="P39" s="96"/>
      <c r="Q39" s="48"/>
      <c r="R39" s="49"/>
      <c r="S39" s="51"/>
      <c r="T39" s="47"/>
      <c r="U39" s="48"/>
      <c r="V39" s="49"/>
      <c r="W39" s="51"/>
      <c r="X39" s="82"/>
      <c r="Y39" s="48"/>
      <c r="Z39" s="49"/>
      <c r="AA39" s="51"/>
      <c r="AB39" s="47"/>
      <c r="AC39" s="48"/>
      <c r="AD39" s="49"/>
      <c r="AE39" s="51"/>
      <c r="AF39" s="82"/>
      <c r="AG39" s="48"/>
      <c r="AH39" s="49"/>
      <c r="AI39" s="51"/>
      <c r="AJ39" s="82"/>
      <c r="AK39" s="48"/>
      <c r="AL39" s="49"/>
      <c r="AM39" s="51"/>
      <c r="AN39" s="101"/>
      <c r="AO39" s="48"/>
      <c r="AP39" s="49"/>
      <c r="AQ39" s="51"/>
      <c r="AR39" s="47"/>
      <c r="AS39" s="48"/>
      <c r="AT39" s="49"/>
      <c r="AU39" s="51"/>
      <c r="AV39" s="47"/>
      <c r="AW39" s="48"/>
      <c r="AX39" s="49"/>
      <c r="AY39" s="50"/>
      <c r="AZ39" s="47"/>
      <c r="BA39" s="48"/>
      <c r="BB39" s="49"/>
      <c r="BC39" s="50"/>
      <c r="BD39" s="47"/>
      <c r="BE39" s="48"/>
      <c r="BF39" s="49"/>
      <c r="BG39" s="50"/>
      <c r="BH39" s="64"/>
      <c r="BI39" s="51">
        <f t="shared" si="3"/>
        <v>0</v>
      </c>
      <c r="BJ39" s="51">
        <f t="shared" si="4"/>
        <v>0</v>
      </c>
      <c r="BK39" s="51">
        <f t="shared" si="5"/>
        <v>0</v>
      </c>
      <c r="BL39" s="51">
        <f t="shared" si="6"/>
        <v>0</v>
      </c>
      <c r="BM39" s="51">
        <f t="shared" si="7"/>
        <v>0</v>
      </c>
      <c r="BN39" s="51">
        <f t="shared" si="8"/>
        <v>0</v>
      </c>
      <c r="BO39" s="51">
        <f t="shared" si="9"/>
        <v>0</v>
      </c>
      <c r="BP39" s="51">
        <f t="shared" si="10"/>
        <v>0</v>
      </c>
      <c r="BQ39" s="85">
        <f t="shared" si="11"/>
        <v>0</v>
      </c>
      <c r="BR39" s="51"/>
      <c r="BS39" s="51"/>
      <c r="BT39" s="51"/>
      <c r="BU39" s="51"/>
      <c r="BV39" s="51"/>
      <c r="BW39" s="51"/>
      <c r="BX39" s="51"/>
      <c r="BY39" s="64"/>
    </row>
    <row r="40" spans="1:77" s="75" customFormat="1" ht="18" x14ac:dyDescent="0.25">
      <c r="A40" s="52">
        <v>4717</v>
      </c>
      <c r="B40" s="53" t="s">
        <v>34</v>
      </c>
      <c r="C40" s="55"/>
      <c r="D40" s="47"/>
      <c r="E40" s="48"/>
      <c r="F40" s="49"/>
      <c r="G40" s="50"/>
      <c r="H40" s="47"/>
      <c r="I40" s="48"/>
      <c r="J40" s="49"/>
      <c r="K40" s="51"/>
      <c r="L40" s="47"/>
      <c r="M40" s="48"/>
      <c r="N40" s="49"/>
      <c r="O40" s="51"/>
      <c r="P40" s="47"/>
      <c r="Q40" s="48"/>
      <c r="R40" s="49"/>
      <c r="S40" s="51"/>
      <c r="T40" s="47"/>
      <c r="U40" s="48"/>
      <c r="V40" s="49"/>
      <c r="W40" s="51"/>
      <c r="X40" s="82"/>
      <c r="Y40" s="48"/>
      <c r="Z40" s="49"/>
      <c r="AA40" s="51"/>
      <c r="AB40" s="47"/>
      <c r="AC40" s="48"/>
      <c r="AD40" s="49"/>
      <c r="AE40" s="51"/>
      <c r="AF40" s="82"/>
      <c r="AG40" s="48"/>
      <c r="AH40" s="49"/>
      <c r="AI40" s="51"/>
      <c r="AJ40" s="82"/>
      <c r="AK40" s="48"/>
      <c r="AL40" s="49"/>
      <c r="AM40" s="51"/>
      <c r="AN40" s="101"/>
      <c r="AO40" s="48"/>
      <c r="AP40" s="49"/>
      <c r="AQ40" s="51"/>
      <c r="AR40" s="47"/>
      <c r="AS40" s="48"/>
      <c r="AT40" s="49"/>
      <c r="AU40" s="51"/>
      <c r="AV40" s="47"/>
      <c r="AW40" s="48"/>
      <c r="AX40" s="49"/>
      <c r="AY40" s="50"/>
      <c r="AZ40" s="47"/>
      <c r="BA40" s="48"/>
      <c r="BB40" s="49"/>
      <c r="BC40" s="50"/>
      <c r="BD40" s="47"/>
      <c r="BE40" s="48"/>
      <c r="BF40" s="49"/>
      <c r="BG40" s="50"/>
      <c r="BH40" s="64"/>
      <c r="BI40" s="51">
        <f t="shared" si="3"/>
        <v>0</v>
      </c>
      <c r="BJ40" s="51">
        <f t="shared" si="4"/>
        <v>0</v>
      </c>
      <c r="BK40" s="51">
        <f t="shared" si="5"/>
        <v>0</v>
      </c>
      <c r="BL40" s="51">
        <f t="shared" si="6"/>
        <v>0</v>
      </c>
      <c r="BM40" s="51">
        <f t="shared" si="7"/>
        <v>0</v>
      </c>
      <c r="BN40" s="51">
        <f t="shared" si="8"/>
        <v>0</v>
      </c>
      <c r="BO40" s="51">
        <f t="shared" si="9"/>
        <v>0</v>
      </c>
      <c r="BP40" s="51">
        <f t="shared" si="10"/>
        <v>0</v>
      </c>
      <c r="BQ40" s="85">
        <f t="shared" si="11"/>
        <v>0</v>
      </c>
      <c r="BR40" s="51"/>
      <c r="BS40" s="51"/>
      <c r="BT40" s="51"/>
      <c r="BU40" s="51"/>
      <c r="BV40" s="51"/>
      <c r="BW40" s="51"/>
      <c r="BX40" s="51"/>
      <c r="BY40" s="64"/>
    </row>
    <row r="41" spans="1:77" s="75" customFormat="1" ht="18" x14ac:dyDescent="0.25">
      <c r="A41" s="52">
        <v>400</v>
      </c>
      <c r="B41" s="53" t="s">
        <v>35</v>
      </c>
      <c r="C41" s="55"/>
      <c r="D41" s="47"/>
      <c r="E41" s="48"/>
      <c r="F41" s="49"/>
      <c r="G41" s="50"/>
      <c r="H41" s="47"/>
      <c r="I41" s="48"/>
      <c r="J41" s="49"/>
      <c r="K41" s="51"/>
      <c r="L41" s="47"/>
      <c r="M41" s="48"/>
      <c r="N41" s="49"/>
      <c r="O41" s="51"/>
      <c r="P41" s="47"/>
      <c r="Q41" s="48"/>
      <c r="R41" s="49"/>
      <c r="S41" s="51"/>
      <c r="T41" s="47"/>
      <c r="U41" s="48"/>
      <c r="V41" s="49"/>
      <c r="W41" s="51"/>
      <c r="X41" s="82"/>
      <c r="Y41" s="48"/>
      <c r="Z41" s="49"/>
      <c r="AA41" s="51"/>
      <c r="AB41" s="47"/>
      <c r="AC41" s="48"/>
      <c r="AD41" s="49"/>
      <c r="AE41" s="51"/>
      <c r="AF41" s="82"/>
      <c r="AG41" s="48"/>
      <c r="AH41" s="49"/>
      <c r="AI41" s="51"/>
      <c r="AJ41" s="82"/>
      <c r="AK41" s="48"/>
      <c r="AL41" s="49"/>
      <c r="AM41" s="51"/>
      <c r="AN41" s="101"/>
      <c r="AO41" s="48"/>
      <c r="AP41" s="49"/>
      <c r="AQ41" s="51"/>
      <c r="AR41" s="47"/>
      <c r="AS41" s="48"/>
      <c r="AT41" s="49"/>
      <c r="AU41" s="51"/>
      <c r="AV41" s="47"/>
      <c r="AW41" s="48"/>
      <c r="AX41" s="49"/>
      <c r="AY41" s="50"/>
      <c r="AZ41" s="47"/>
      <c r="BA41" s="48"/>
      <c r="BB41" s="49"/>
      <c r="BC41" s="50"/>
      <c r="BD41" s="47"/>
      <c r="BE41" s="48"/>
      <c r="BF41" s="49"/>
      <c r="BG41" s="50"/>
      <c r="BH41" s="64"/>
      <c r="BI41" s="51">
        <f t="shared" si="3"/>
        <v>0</v>
      </c>
      <c r="BJ41" s="51">
        <f t="shared" si="4"/>
        <v>0</v>
      </c>
      <c r="BK41" s="51">
        <f t="shared" si="5"/>
        <v>0</v>
      </c>
      <c r="BL41" s="51">
        <f t="shared" si="6"/>
        <v>0</v>
      </c>
      <c r="BM41" s="51">
        <f t="shared" si="7"/>
        <v>0</v>
      </c>
      <c r="BN41" s="51">
        <f t="shared" si="8"/>
        <v>0</v>
      </c>
      <c r="BO41" s="51">
        <f t="shared" si="9"/>
        <v>0</v>
      </c>
      <c r="BP41" s="51">
        <f t="shared" si="10"/>
        <v>0</v>
      </c>
      <c r="BQ41" s="85">
        <f t="shared" si="11"/>
        <v>0</v>
      </c>
      <c r="BR41" s="51"/>
      <c r="BS41" s="51"/>
      <c r="BT41" s="51"/>
      <c r="BU41" s="51"/>
      <c r="BV41" s="51"/>
      <c r="BW41" s="51"/>
      <c r="BX41" s="51"/>
      <c r="BY41" s="64"/>
    </row>
    <row r="42" spans="1:77" s="75" customFormat="1" ht="18" x14ac:dyDescent="0.25">
      <c r="A42" s="52">
        <v>5601</v>
      </c>
      <c r="B42" s="53" t="s">
        <v>75</v>
      </c>
      <c r="C42" s="55"/>
      <c r="D42" s="47"/>
      <c r="E42" s="48"/>
      <c r="F42" s="49"/>
      <c r="G42" s="50"/>
      <c r="H42" s="47"/>
      <c r="I42" s="48"/>
      <c r="J42" s="49"/>
      <c r="K42" s="51"/>
      <c r="L42" s="47"/>
      <c r="M42" s="48"/>
      <c r="N42" s="49"/>
      <c r="O42" s="51"/>
      <c r="P42" s="47"/>
      <c r="Q42" s="48"/>
      <c r="R42" s="49"/>
      <c r="S42" s="51"/>
      <c r="T42" s="47"/>
      <c r="U42" s="48"/>
      <c r="V42" s="49"/>
      <c r="W42" s="51"/>
      <c r="X42" s="82"/>
      <c r="Y42" s="48"/>
      <c r="Z42" s="49"/>
      <c r="AA42" s="51"/>
      <c r="AB42" s="47"/>
      <c r="AC42" s="48"/>
      <c r="AD42" s="49"/>
      <c r="AE42" s="51"/>
      <c r="AF42" s="82"/>
      <c r="AG42" s="48"/>
      <c r="AH42" s="49"/>
      <c r="AI42" s="51"/>
      <c r="AJ42" s="82"/>
      <c r="AK42" s="48"/>
      <c r="AL42" s="49"/>
      <c r="AM42" s="51"/>
      <c r="AN42" s="101"/>
      <c r="AO42" s="48"/>
      <c r="AP42" s="49"/>
      <c r="AQ42" s="51"/>
      <c r="AR42" s="47"/>
      <c r="AS42" s="48"/>
      <c r="AT42" s="49"/>
      <c r="AU42" s="51"/>
      <c r="AV42" s="47"/>
      <c r="AW42" s="48"/>
      <c r="AX42" s="49"/>
      <c r="AY42" s="50"/>
      <c r="AZ42" s="47"/>
      <c r="BA42" s="48"/>
      <c r="BB42" s="49"/>
      <c r="BC42" s="50"/>
      <c r="BD42" s="51"/>
      <c r="BE42" s="48"/>
      <c r="BF42" s="49"/>
      <c r="BG42" s="50"/>
      <c r="BH42" s="64"/>
      <c r="BI42" s="51">
        <f t="shared" si="3"/>
        <v>0</v>
      </c>
      <c r="BJ42" s="51">
        <f t="shared" si="4"/>
        <v>0</v>
      </c>
      <c r="BK42" s="51">
        <f t="shared" si="5"/>
        <v>0</v>
      </c>
      <c r="BL42" s="51">
        <f t="shared" si="6"/>
        <v>0</v>
      </c>
      <c r="BM42" s="51">
        <f t="shared" si="7"/>
        <v>0</v>
      </c>
      <c r="BN42" s="51">
        <f t="shared" si="8"/>
        <v>0</v>
      </c>
      <c r="BO42" s="51">
        <f t="shared" si="9"/>
        <v>0</v>
      </c>
      <c r="BP42" s="51">
        <f t="shared" si="10"/>
        <v>0</v>
      </c>
      <c r="BQ42" s="85">
        <f t="shared" si="11"/>
        <v>0</v>
      </c>
      <c r="BR42" s="51"/>
      <c r="BS42" s="51"/>
      <c r="BT42" s="51"/>
      <c r="BU42" s="51"/>
      <c r="BV42" s="51"/>
      <c r="BW42" s="51"/>
      <c r="BX42" s="51"/>
      <c r="BY42" s="64"/>
    </row>
    <row r="43" spans="1:77" s="75" customFormat="1" ht="18" x14ac:dyDescent="0.25">
      <c r="A43" s="56">
        <v>5885</v>
      </c>
      <c r="B43" s="53" t="s">
        <v>96</v>
      </c>
      <c r="C43" s="55"/>
      <c r="D43" s="47"/>
      <c r="E43" s="48"/>
      <c r="F43" s="49"/>
      <c r="G43" s="50"/>
      <c r="H43" s="51"/>
      <c r="I43" s="48"/>
      <c r="J43" s="49"/>
      <c r="K43" s="51"/>
      <c r="L43" s="47"/>
      <c r="M43" s="48"/>
      <c r="N43" s="49"/>
      <c r="O43" s="51"/>
      <c r="P43" s="47"/>
      <c r="Q43" s="48"/>
      <c r="R43" s="49"/>
      <c r="S43" s="51"/>
      <c r="T43" s="47">
        <f>767.75+45</f>
        <v>812.75</v>
      </c>
      <c r="U43" s="48">
        <f>76.77+4.5</f>
        <v>81.27</v>
      </c>
      <c r="V43" s="49"/>
      <c r="W43" s="50"/>
      <c r="X43" s="82">
        <v>1681.4</v>
      </c>
      <c r="Y43" s="48">
        <v>168</v>
      </c>
      <c r="Z43" s="49"/>
      <c r="AA43" s="50"/>
      <c r="AB43" s="47">
        <v>722.47</v>
      </c>
      <c r="AC43" s="48">
        <v>72.260000000000005</v>
      </c>
      <c r="AD43" s="49"/>
      <c r="AE43" s="50"/>
      <c r="AF43" s="82"/>
      <c r="AG43" s="48"/>
      <c r="AH43" s="49"/>
      <c r="AI43" s="50"/>
      <c r="AJ43" s="82"/>
      <c r="AK43" s="48"/>
      <c r="AL43" s="49"/>
      <c r="AM43" s="50"/>
      <c r="AN43" s="97">
        <v>373.61</v>
      </c>
      <c r="AO43" s="48">
        <v>37</v>
      </c>
      <c r="AP43" s="49"/>
      <c r="AQ43" s="50"/>
      <c r="AR43" s="47">
        <f>176.75+330.67</f>
        <v>507.42</v>
      </c>
      <c r="AS43" s="48">
        <f>18+33</f>
        <v>51</v>
      </c>
      <c r="AT43" s="49"/>
      <c r="AU43" s="51"/>
      <c r="AV43" s="47">
        <v>373.61</v>
      </c>
      <c r="AW43" s="48">
        <v>37</v>
      </c>
      <c r="AX43" s="49"/>
      <c r="AY43" s="50"/>
      <c r="AZ43" s="51">
        <f>214.25+298.19</f>
        <v>512.44000000000005</v>
      </c>
      <c r="BA43" s="48">
        <f>21.42+30</f>
        <v>51.42</v>
      </c>
      <c r="BB43" s="49"/>
      <c r="BC43" s="50"/>
      <c r="BD43" s="51"/>
      <c r="BE43" s="48"/>
      <c r="BF43" s="49"/>
      <c r="BG43" s="50"/>
      <c r="BH43" s="64"/>
      <c r="BI43" s="51">
        <f t="shared" si="3"/>
        <v>4983.6999999999989</v>
      </c>
      <c r="BJ43" s="51">
        <f t="shared" si="4"/>
        <v>497.95</v>
      </c>
      <c r="BK43" s="51">
        <f t="shared" si="5"/>
        <v>0</v>
      </c>
      <c r="BL43" s="51">
        <f t="shared" si="6"/>
        <v>0</v>
      </c>
      <c r="BM43" s="51">
        <f t="shared" si="7"/>
        <v>321.52999999999997</v>
      </c>
      <c r="BN43" s="51">
        <f t="shared" si="8"/>
        <v>176.42000000000002</v>
      </c>
      <c r="BO43" s="51">
        <f t="shared" si="9"/>
        <v>497.95</v>
      </c>
      <c r="BP43" s="51">
        <f t="shared" si="10"/>
        <v>0</v>
      </c>
      <c r="BQ43" s="85">
        <f t="shared" si="11"/>
        <v>9.9915725264361835E-2</v>
      </c>
      <c r="BR43" s="51"/>
      <c r="BS43" s="51"/>
      <c r="BT43" s="51"/>
      <c r="BU43" s="51"/>
      <c r="BV43" s="51"/>
      <c r="BW43" s="51"/>
      <c r="BX43" s="51"/>
      <c r="BY43" s="64"/>
    </row>
    <row r="44" spans="1:77" s="75" customFormat="1" ht="18" x14ac:dyDescent="0.25">
      <c r="A44" s="52">
        <v>5832</v>
      </c>
      <c r="B44" s="53" t="s">
        <v>98</v>
      </c>
      <c r="C44" s="53"/>
      <c r="D44" s="51"/>
      <c r="E44" s="48"/>
      <c r="F44" s="49"/>
      <c r="G44" s="50"/>
      <c r="H44" s="51"/>
      <c r="I44" s="48"/>
      <c r="J44" s="49"/>
      <c r="K44" s="51"/>
      <c r="L44" s="47"/>
      <c r="M44" s="48"/>
      <c r="N44" s="49"/>
      <c r="O44" s="51"/>
      <c r="P44" s="47"/>
      <c r="Q44" s="48"/>
      <c r="R44" s="49"/>
      <c r="S44" s="51"/>
      <c r="T44" s="47"/>
      <c r="U44" s="48"/>
      <c r="V44" s="49"/>
      <c r="W44" s="50"/>
      <c r="X44" s="64"/>
      <c r="Y44" s="48"/>
      <c r="Z44" s="49"/>
      <c r="AA44" s="50"/>
      <c r="AB44" s="47"/>
      <c r="AC44" s="48"/>
      <c r="AD44" s="49"/>
      <c r="AE44" s="50"/>
      <c r="AF44" s="82"/>
      <c r="AG44" s="48"/>
      <c r="AH44" s="49"/>
      <c r="AI44" s="50"/>
      <c r="AJ44" s="82"/>
      <c r="AK44" s="48"/>
      <c r="AL44" s="49"/>
      <c r="AM44" s="50"/>
      <c r="AN44" s="97"/>
      <c r="AO44" s="48"/>
      <c r="AP44" s="49"/>
      <c r="AQ44" s="50"/>
      <c r="AR44" s="51"/>
      <c r="AS44" s="48"/>
      <c r="AT44" s="49"/>
      <c r="AU44" s="51"/>
      <c r="AV44" s="47"/>
      <c r="AW44" s="48"/>
      <c r="AX44" s="49"/>
      <c r="AY44" s="50"/>
      <c r="AZ44" s="51"/>
      <c r="BA44" s="48"/>
      <c r="BB44" s="49"/>
      <c r="BC44" s="50"/>
      <c r="BD44" s="51"/>
      <c r="BE44" s="48"/>
      <c r="BF44" s="49"/>
      <c r="BG44" s="50"/>
      <c r="BH44" s="64"/>
      <c r="BI44" s="51">
        <f t="shared" si="3"/>
        <v>0</v>
      </c>
      <c r="BJ44" s="51">
        <f t="shared" si="4"/>
        <v>0</v>
      </c>
      <c r="BK44" s="51">
        <f t="shared" si="5"/>
        <v>0</v>
      </c>
      <c r="BL44" s="51">
        <f t="shared" si="6"/>
        <v>0</v>
      </c>
      <c r="BM44" s="51">
        <f t="shared" si="7"/>
        <v>0</v>
      </c>
      <c r="BN44" s="51">
        <f t="shared" si="8"/>
        <v>0</v>
      </c>
      <c r="BO44" s="51">
        <f t="shared" si="9"/>
        <v>0</v>
      </c>
      <c r="BP44" s="51">
        <f t="shared" si="10"/>
        <v>0</v>
      </c>
      <c r="BQ44" s="85">
        <f t="shared" si="11"/>
        <v>0</v>
      </c>
      <c r="BR44" s="64"/>
      <c r="BS44" s="64"/>
      <c r="BT44" s="64"/>
      <c r="BU44" s="64"/>
      <c r="BV44" s="64"/>
      <c r="BW44" s="64"/>
      <c r="BX44" s="64"/>
      <c r="BY44" s="64"/>
    </row>
    <row r="45" spans="1:77" s="75" customFormat="1" ht="18" x14ac:dyDescent="0.25">
      <c r="A45" s="52">
        <v>4250</v>
      </c>
      <c r="B45" s="53" t="s">
        <v>36</v>
      </c>
      <c r="C45" s="55"/>
      <c r="D45" s="47">
        <v>2321.4899999999998</v>
      </c>
      <c r="E45" s="48">
        <v>232</v>
      </c>
      <c r="F45" s="49"/>
      <c r="G45" s="50"/>
      <c r="H45" s="47">
        <v>1248.1199999999999</v>
      </c>
      <c r="I45" s="48">
        <v>124</v>
      </c>
      <c r="J45" s="49"/>
      <c r="K45" s="51"/>
      <c r="L45" s="47">
        <v>2002.5</v>
      </c>
      <c r="M45" s="48">
        <v>200</v>
      </c>
      <c r="N45" s="49"/>
      <c r="O45" s="51"/>
      <c r="P45" s="47"/>
      <c r="Q45" s="48"/>
      <c r="R45" s="49"/>
      <c r="S45" s="51"/>
      <c r="T45" s="47"/>
      <c r="U45" s="48"/>
      <c r="V45" s="49"/>
      <c r="W45" s="51"/>
      <c r="X45" s="82"/>
      <c r="Y45" s="48"/>
      <c r="Z45" s="49"/>
      <c r="AA45" s="50"/>
      <c r="AB45" s="47">
        <v>2202.9699999999998</v>
      </c>
      <c r="AC45" s="48">
        <v>220</v>
      </c>
      <c r="AD45" s="49"/>
      <c r="AE45" s="51"/>
      <c r="AF45" s="82">
        <v>1622.05</v>
      </c>
      <c r="AG45" s="48">
        <v>162</v>
      </c>
      <c r="AH45" s="49"/>
      <c r="AI45" s="51"/>
      <c r="AJ45" s="82">
        <v>716.25</v>
      </c>
      <c r="AK45" s="48">
        <v>71</v>
      </c>
      <c r="AL45" s="49"/>
      <c r="AM45" s="51"/>
      <c r="AN45" s="101">
        <v>793.88</v>
      </c>
      <c r="AO45" s="48">
        <v>79</v>
      </c>
      <c r="AP45" s="49"/>
      <c r="AQ45" s="51"/>
      <c r="AR45" s="47">
        <f>748.55</f>
        <v>748.55</v>
      </c>
      <c r="AS45" s="48">
        <v>74</v>
      </c>
      <c r="AT45" s="49"/>
      <c r="AU45" s="51"/>
      <c r="AV45" s="47">
        <v>793.88</v>
      </c>
      <c r="AW45" s="48">
        <v>79</v>
      </c>
      <c r="AX45" s="49"/>
      <c r="AY45" s="50"/>
      <c r="AZ45" s="47"/>
      <c r="BA45" s="48"/>
      <c r="BB45" s="49"/>
      <c r="BC45" s="50"/>
      <c r="BD45" s="51"/>
      <c r="BE45" s="48"/>
      <c r="BF45" s="49"/>
      <c r="BG45" s="50"/>
      <c r="BH45" s="64"/>
      <c r="BI45" s="51">
        <f t="shared" si="3"/>
        <v>12449.689999999997</v>
      </c>
      <c r="BJ45" s="51">
        <f t="shared" si="4"/>
        <v>1241</v>
      </c>
      <c r="BK45" s="51">
        <f t="shared" si="5"/>
        <v>0</v>
      </c>
      <c r="BL45" s="51">
        <f t="shared" si="6"/>
        <v>0</v>
      </c>
      <c r="BM45" s="51">
        <f t="shared" si="7"/>
        <v>776</v>
      </c>
      <c r="BN45" s="51">
        <f t="shared" si="8"/>
        <v>465</v>
      </c>
      <c r="BO45" s="51">
        <f t="shared" si="9"/>
        <v>1241</v>
      </c>
      <c r="BP45" s="51">
        <f t="shared" si="10"/>
        <v>0</v>
      </c>
      <c r="BQ45" s="85">
        <f t="shared" si="11"/>
        <v>9.9681196881207509E-2</v>
      </c>
      <c r="BR45" s="51"/>
      <c r="BS45" s="51"/>
      <c r="BT45" s="51"/>
      <c r="BU45" s="51"/>
      <c r="BV45" s="51"/>
      <c r="BW45" s="51"/>
      <c r="BX45" s="51"/>
      <c r="BY45" s="64"/>
    </row>
    <row r="46" spans="1:77" s="75" customFormat="1" ht="18" x14ac:dyDescent="0.25">
      <c r="A46" s="52">
        <v>4920</v>
      </c>
      <c r="B46" s="86" t="s">
        <v>61</v>
      </c>
      <c r="C46" s="87"/>
      <c r="D46" s="47"/>
      <c r="E46" s="48"/>
      <c r="F46" s="49"/>
      <c r="G46" s="50"/>
      <c r="H46" s="47"/>
      <c r="I46" s="48"/>
      <c r="J46" s="49"/>
      <c r="K46" s="51"/>
      <c r="L46" s="47"/>
      <c r="M46" s="48"/>
      <c r="N46" s="49"/>
      <c r="O46" s="51"/>
      <c r="P46" s="47"/>
      <c r="Q46" s="48"/>
      <c r="R46" s="49"/>
      <c r="S46" s="51"/>
      <c r="T46" s="47"/>
      <c r="U46" s="48"/>
      <c r="V46" s="49"/>
      <c r="W46" s="51"/>
      <c r="X46" s="82"/>
      <c r="Y46" s="48"/>
      <c r="Z46" s="49"/>
      <c r="AA46" s="51"/>
      <c r="AB46" s="47"/>
      <c r="AC46" s="48"/>
      <c r="AD46" s="49"/>
      <c r="AE46" s="51"/>
      <c r="AF46" s="82"/>
      <c r="AG46" s="48"/>
      <c r="AH46" s="49"/>
      <c r="AI46" s="51"/>
      <c r="AJ46" s="82"/>
      <c r="AK46" s="48"/>
      <c r="AL46" s="49"/>
      <c r="AM46" s="51"/>
      <c r="AN46" s="101"/>
      <c r="AO46" s="48"/>
      <c r="AP46" s="49"/>
      <c r="AQ46" s="51"/>
      <c r="AR46" s="47"/>
      <c r="AS46" s="48"/>
      <c r="AT46" s="49"/>
      <c r="AU46" s="51"/>
      <c r="AV46" s="47"/>
      <c r="AW46" s="48"/>
      <c r="AX46" s="49"/>
      <c r="AY46" s="50"/>
      <c r="AZ46" s="47"/>
      <c r="BA46" s="48"/>
      <c r="BB46" s="49"/>
      <c r="BC46" s="50"/>
      <c r="BD46" s="47"/>
      <c r="BE46" s="48"/>
      <c r="BF46" s="49"/>
      <c r="BG46" s="50"/>
      <c r="BH46" s="64"/>
      <c r="BI46" s="51">
        <f t="shared" si="3"/>
        <v>0</v>
      </c>
      <c r="BJ46" s="51">
        <f t="shared" si="4"/>
        <v>0</v>
      </c>
      <c r="BK46" s="51">
        <f t="shared" si="5"/>
        <v>0</v>
      </c>
      <c r="BL46" s="51">
        <f t="shared" si="6"/>
        <v>0</v>
      </c>
      <c r="BM46" s="51">
        <f t="shared" si="7"/>
        <v>0</v>
      </c>
      <c r="BN46" s="51">
        <f t="shared" si="8"/>
        <v>0</v>
      </c>
      <c r="BO46" s="51">
        <f t="shared" si="9"/>
        <v>0</v>
      </c>
      <c r="BP46" s="51">
        <f t="shared" si="10"/>
        <v>0</v>
      </c>
      <c r="BQ46" s="85">
        <f t="shared" si="11"/>
        <v>0</v>
      </c>
      <c r="BR46" s="51"/>
      <c r="BS46" s="51"/>
      <c r="BT46" s="51"/>
      <c r="BU46" s="51"/>
      <c r="BV46" s="51"/>
      <c r="BW46" s="51"/>
      <c r="BX46" s="51"/>
      <c r="BY46" s="64"/>
    </row>
    <row r="47" spans="1:77" s="75" customFormat="1" ht="18" x14ac:dyDescent="0.25">
      <c r="A47" s="52">
        <v>3834</v>
      </c>
      <c r="B47" s="53" t="s">
        <v>37</v>
      </c>
      <c r="C47" s="55"/>
      <c r="D47" s="47"/>
      <c r="E47" s="48"/>
      <c r="F47" s="49"/>
      <c r="G47" s="50"/>
      <c r="H47" s="47"/>
      <c r="I47" s="48"/>
      <c r="J47" s="49"/>
      <c r="K47" s="51"/>
      <c r="L47" s="47"/>
      <c r="M47" s="48"/>
      <c r="N47" s="49"/>
      <c r="O47" s="51"/>
      <c r="P47" s="47"/>
      <c r="Q47" s="48"/>
      <c r="R47" s="49"/>
      <c r="S47" s="51"/>
      <c r="T47" s="47"/>
      <c r="U47" s="48"/>
      <c r="V47" s="49"/>
      <c r="W47" s="51"/>
      <c r="X47" s="82"/>
      <c r="Y47" s="48"/>
      <c r="Z47" s="49"/>
      <c r="AA47" s="51"/>
      <c r="AB47" s="47"/>
      <c r="AC47" s="48"/>
      <c r="AD47" s="49"/>
      <c r="AE47" s="51"/>
      <c r="AF47" s="82"/>
      <c r="AG47" s="48"/>
      <c r="AH47" s="49"/>
      <c r="AI47" s="51"/>
      <c r="AJ47" s="82"/>
      <c r="AK47" s="48"/>
      <c r="AL47" s="49"/>
      <c r="AM47" s="51"/>
      <c r="AN47" s="101"/>
      <c r="AO47" s="48"/>
      <c r="AP47" s="49"/>
      <c r="AQ47" s="51"/>
      <c r="AR47" s="47"/>
      <c r="AS47" s="48"/>
      <c r="AT47" s="49"/>
      <c r="AU47" s="51"/>
      <c r="AV47" s="47"/>
      <c r="AW47" s="48"/>
      <c r="AX47" s="49"/>
      <c r="AY47" s="50"/>
      <c r="AZ47" s="47"/>
      <c r="BA47" s="48"/>
      <c r="BB47" s="49"/>
      <c r="BC47" s="50"/>
      <c r="BD47" s="47"/>
      <c r="BE47" s="48"/>
      <c r="BF47" s="49"/>
      <c r="BG47" s="50"/>
      <c r="BH47" s="64"/>
      <c r="BI47" s="51">
        <f t="shared" si="3"/>
        <v>0</v>
      </c>
      <c r="BJ47" s="51">
        <f t="shared" si="4"/>
        <v>0</v>
      </c>
      <c r="BK47" s="51">
        <f t="shared" si="5"/>
        <v>0</v>
      </c>
      <c r="BL47" s="51">
        <f t="shared" si="6"/>
        <v>0</v>
      </c>
      <c r="BM47" s="51">
        <f t="shared" si="7"/>
        <v>0</v>
      </c>
      <c r="BN47" s="51">
        <f t="shared" si="8"/>
        <v>0</v>
      </c>
      <c r="BO47" s="51">
        <f t="shared" si="9"/>
        <v>0</v>
      </c>
      <c r="BP47" s="51">
        <f t="shared" si="10"/>
        <v>0</v>
      </c>
      <c r="BQ47" s="85">
        <f t="shared" si="11"/>
        <v>0</v>
      </c>
      <c r="BR47" s="51"/>
      <c r="BS47" s="51"/>
      <c r="BT47" s="51"/>
      <c r="BU47" s="51"/>
      <c r="BV47" s="51"/>
      <c r="BW47" s="51"/>
      <c r="BX47" s="51"/>
      <c r="BY47" s="64"/>
    </row>
    <row r="48" spans="1:77" s="75" customFormat="1" ht="18" x14ac:dyDescent="0.25">
      <c r="A48" s="52">
        <v>5194</v>
      </c>
      <c r="B48" s="53" t="s">
        <v>70</v>
      </c>
      <c r="C48" s="55"/>
      <c r="D48" s="47"/>
      <c r="E48" s="48"/>
      <c r="F48" s="49"/>
      <c r="G48" s="50"/>
      <c r="H48" s="47"/>
      <c r="I48" s="48"/>
      <c r="J48" s="49"/>
      <c r="K48" s="51"/>
      <c r="L48" s="47"/>
      <c r="M48" s="48"/>
      <c r="N48" s="49"/>
      <c r="O48" s="51"/>
      <c r="P48" s="47">
        <v>1081.33</v>
      </c>
      <c r="Q48" s="48">
        <v>108</v>
      </c>
      <c r="R48" s="49"/>
      <c r="S48" s="51"/>
      <c r="T48" s="47">
        <v>1376.5</v>
      </c>
      <c r="U48" s="48">
        <v>137</v>
      </c>
      <c r="V48" s="49"/>
      <c r="W48" s="51"/>
      <c r="X48" s="82">
        <v>1681.4</v>
      </c>
      <c r="Y48" s="48">
        <v>168</v>
      </c>
      <c r="Z48" s="49"/>
      <c r="AA48" s="51"/>
      <c r="AB48" s="47">
        <v>2202.9699999999998</v>
      </c>
      <c r="AC48" s="48">
        <v>220</v>
      </c>
      <c r="AD48" s="49"/>
      <c r="AE48" s="51"/>
      <c r="AF48" s="82"/>
      <c r="AG48" s="48"/>
      <c r="AH48" s="49"/>
      <c r="AI48" s="51"/>
      <c r="AJ48" s="82"/>
      <c r="AK48" s="48"/>
      <c r="AL48" s="49"/>
      <c r="AM48" s="51"/>
      <c r="AN48" s="101">
        <v>373.61</v>
      </c>
      <c r="AO48" s="48">
        <v>37</v>
      </c>
      <c r="AP48" s="49"/>
      <c r="AQ48" s="51"/>
      <c r="AR48" s="47">
        <f>748.56</f>
        <v>748.56</v>
      </c>
      <c r="AS48" s="48">
        <v>74</v>
      </c>
      <c r="AT48" s="49"/>
      <c r="AU48" s="51"/>
      <c r="AV48" s="47">
        <v>373.6</v>
      </c>
      <c r="AW48" s="48">
        <v>37</v>
      </c>
      <c r="AX48" s="49"/>
      <c r="AY48" s="50"/>
      <c r="AZ48" s="47">
        <f>1107.69</f>
        <v>1107.69</v>
      </c>
      <c r="BA48" s="48">
        <f>110</f>
        <v>110</v>
      </c>
      <c r="BB48" s="49"/>
      <c r="BC48" s="50"/>
      <c r="BD48" s="51">
        <v>1323.63</v>
      </c>
      <c r="BE48" s="48">
        <v>132</v>
      </c>
      <c r="BF48" s="49"/>
      <c r="BG48" s="50"/>
      <c r="BH48" s="64"/>
      <c r="BI48" s="51">
        <f t="shared" si="3"/>
        <v>10269.290000000001</v>
      </c>
      <c r="BJ48" s="51">
        <f t="shared" si="4"/>
        <v>1023</v>
      </c>
      <c r="BK48" s="51">
        <f t="shared" si="5"/>
        <v>0</v>
      </c>
      <c r="BL48" s="51">
        <f t="shared" si="6"/>
        <v>0</v>
      </c>
      <c r="BM48" s="51">
        <f t="shared" si="7"/>
        <v>633</v>
      </c>
      <c r="BN48" s="51">
        <f t="shared" si="8"/>
        <v>390</v>
      </c>
      <c r="BO48" s="51">
        <f t="shared" si="9"/>
        <v>1023</v>
      </c>
      <c r="BP48" s="51">
        <f t="shared" si="10"/>
        <v>0</v>
      </c>
      <c r="BQ48" s="85">
        <f t="shared" si="11"/>
        <v>9.9617402955803167E-2</v>
      </c>
      <c r="BR48" s="51"/>
      <c r="BS48" s="51"/>
      <c r="BT48" s="51"/>
      <c r="BU48" s="51"/>
      <c r="BV48" s="51"/>
      <c r="BW48" s="51"/>
      <c r="BX48" s="51"/>
      <c r="BY48" s="64"/>
    </row>
    <row r="49" spans="1:77" s="75" customFormat="1" ht="18" x14ac:dyDescent="0.25">
      <c r="A49" s="52">
        <v>4892</v>
      </c>
      <c r="B49" s="53" t="s">
        <v>60</v>
      </c>
      <c r="C49" s="55"/>
      <c r="D49" s="47"/>
      <c r="E49" s="48"/>
      <c r="F49" s="49"/>
      <c r="G49" s="50"/>
      <c r="H49" s="47"/>
      <c r="I49" s="48"/>
      <c r="J49" s="49"/>
      <c r="K49" s="51"/>
      <c r="L49" s="47"/>
      <c r="M49" s="48"/>
      <c r="N49" s="49"/>
      <c r="O49" s="51"/>
      <c r="P49" s="96"/>
      <c r="Q49" s="48"/>
      <c r="R49" s="49"/>
      <c r="S49" s="51"/>
      <c r="T49" s="47"/>
      <c r="U49" s="48"/>
      <c r="V49" s="49"/>
      <c r="W49" s="51"/>
      <c r="X49" s="110"/>
      <c r="Z49" s="49"/>
      <c r="AA49" s="51"/>
      <c r="AB49" s="47"/>
      <c r="AC49" s="48"/>
      <c r="AD49" s="49"/>
      <c r="AE49" s="51"/>
      <c r="AF49" s="82"/>
      <c r="AG49" s="48"/>
      <c r="AH49" s="49"/>
      <c r="AI49" s="51"/>
      <c r="AJ49" s="82"/>
      <c r="AK49" s="48"/>
      <c r="AL49" s="49"/>
      <c r="AM49" s="51"/>
      <c r="AN49" s="101"/>
      <c r="AO49" s="48"/>
      <c r="AP49" s="49"/>
      <c r="AQ49" s="51"/>
      <c r="AR49" s="47"/>
      <c r="AS49" s="48"/>
      <c r="AT49" s="49"/>
      <c r="AU49" s="51"/>
      <c r="AV49" s="47"/>
      <c r="AW49" s="48"/>
      <c r="AX49" s="49"/>
      <c r="AY49" s="50"/>
      <c r="AZ49" s="47"/>
      <c r="BA49" s="48"/>
      <c r="BB49" s="49"/>
      <c r="BC49" s="50"/>
      <c r="BD49" s="47"/>
      <c r="BE49" s="48"/>
      <c r="BF49" s="49"/>
      <c r="BG49" s="50"/>
      <c r="BH49" s="64"/>
      <c r="BI49" s="51">
        <f t="shared" si="3"/>
        <v>0</v>
      </c>
      <c r="BJ49" s="51">
        <f t="shared" si="4"/>
        <v>0</v>
      </c>
      <c r="BK49" s="51">
        <f t="shared" si="5"/>
        <v>0</v>
      </c>
      <c r="BL49" s="51">
        <f t="shared" si="6"/>
        <v>0</v>
      </c>
      <c r="BM49" s="51">
        <f t="shared" si="7"/>
        <v>0</v>
      </c>
      <c r="BN49" s="51">
        <f t="shared" si="8"/>
        <v>0</v>
      </c>
      <c r="BO49" s="51">
        <f t="shared" si="9"/>
        <v>0</v>
      </c>
      <c r="BP49" s="51">
        <f t="shared" si="10"/>
        <v>0</v>
      </c>
      <c r="BQ49" s="85">
        <f t="shared" si="11"/>
        <v>0</v>
      </c>
      <c r="BR49" s="51"/>
      <c r="BS49" s="51"/>
      <c r="BT49" s="51"/>
      <c r="BU49" s="51"/>
      <c r="BV49" s="51"/>
      <c r="BW49" s="51"/>
      <c r="BX49" s="51"/>
      <c r="BY49" s="64"/>
    </row>
    <row r="50" spans="1:77" s="75" customFormat="1" ht="18" x14ac:dyDescent="0.25">
      <c r="A50" s="52">
        <v>93399</v>
      </c>
      <c r="B50" s="53" t="s">
        <v>68</v>
      </c>
      <c r="C50" s="53"/>
      <c r="D50" s="47"/>
      <c r="E50" s="48"/>
      <c r="F50" s="49"/>
      <c r="G50" s="50"/>
      <c r="H50" s="51"/>
      <c r="I50" s="48"/>
      <c r="J50" s="49"/>
      <c r="K50" s="51"/>
      <c r="L50" s="47"/>
      <c r="M50" s="48"/>
      <c r="N50" s="49"/>
      <c r="O50" s="51"/>
      <c r="P50" s="47"/>
      <c r="Q50" s="48"/>
      <c r="R50" s="49"/>
      <c r="S50" s="51"/>
      <c r="T50" s="47"/>
      <c r="U50" s="48"/>
      <c r="V50" s="49"/>
      <c r="W50" s="50"/>
      <c r="X50" s="82"/>
      <c r="Y50" s="48"/>
      <c r="Z50" s="49"/>
      <c r="AA50" s="50"/>
      <c r="AB50" s="47"/>
      <c r="AC50" s="48"/>
      <c r="AD50" s="49"/>
      <c r="AE50" s="50"/>
      <c r="AF50" s="82"/>
      <c r="AG50" s="48"/>
      <c r="AH50" s="49"/>
      <c r="AI50" s="50"/>
      <c r="AJ50" s="82"/>
      <c r="AK50" s="48"/>
      <c r="AL50" s="49"/>
      <c r="AM50" s="50"/>
      <c r="AN50" s="97"/>
      <c r="AO50" s="48"/>
      <c r="AP50" s="49"/>
      <c r="AQ50" s="50"/>
      <c r="AR50" s="47"/>
      <c r="AS50" s="48"/>
      <c r="AT50" s="49"/>
      <c r="AU50" s="51"/>
      <c r="AV50" s="47"/>
      <c r="AW50" s="48"/>
      <c r="AX50" s="49"/>
      <c r="AY50" s="50"/>
      <c r="AZ50" s="51"/>
      <c r="BA50" s="48"/>
      <c r="BB50" s="49"/>
      <c r="BC50" s="50"/>
      <c r="BD50" s="51"/>
      <c r="BE50" s="48"/>
      <c r="BF50" s="49"/>
      <c r="BG50" s="50"/>
      <c r="BH50" s="64"/>
      <c r="BI50" s="51">
        <f t="shared" si="3"/>
        <v>0</v>
      </c>
      <c r="BJ50" s="51">
        <f t="shared" si="4"/>
        <v>0</v>
      </c>
      <c r="BK50" s="51">
        <f t="shared" si="5"/>
        <v>0</v>
      </c>
      <c r="BL50" s="51">
        <f t="shared" si="6"/>
        <v>0</v>
      </c>
      <c r="BM50" s="51">
        <f t="shared" si="7"/>
        <v>0</v>
      </c>
      <c r="BN50" s="51">
        <f t="shared" si="8"/>
        <v>0</v>
      </c>
      <c r="BO50" s="51">
        <f t="shared" si="9"/>
        <v>0</v>
      </c>
      <c r="BP50" s="51">
        <f t="shared" si="10"/>
        <v>0</v>
      </c>
      <c r="BQ50" s="85">
        <f t="shared" si="11"/>
        <v>0</v>
      </c>
      <c r="BR50" s="64"/>
      <c r="BS50" s="64"/>
      <c r="BT50" s="64"/>
      <c r="BU50" s="64"/>
      <c r="BV50" s="64"/>
      <c r="BW50" s="64"/>
      <c r="BX50" s="64"/>
      <c r="BY50" s="64"/>
    </row>
    <row r="51" spans="1:77" s="75" customFormat="1" ht="18" x14ac:dyDescent="0.25">
      <c r="A51" s="52">
        <v>5795</v>
      </c>
      <c r="B51" s="53" t="s">
        <v>85</v>
      </c>
      <c r="C51" s="53"/>
      <c r="D51" s="51"/>
      <c r="E51" s="48"/>
      <c r="F51" s="49"/>
      <c r="G51" s="50"/>
      <c r="H51" s="51"/>
      <c r="I51" s="48"/>
      <c r="J51" s="49"/>
      <c r="K51" s="51"/>
      <c r="L51" s="47"/>
      <c r="M51" s="48"/>
      <c r="N51" s="49"/>
      <c r="O51" s="51"/>
      <c r="P51" s="47"/>
      <c r="Q51" s="48"/>
      <c r="R51" s="49"/>
      <c r="S51" s="51"/>
      <c r="T51" s="47"/>
      <c r="U51" s="48"/>
      <c r="V51" s="49"/>
      <c r="W51" s="50"/>
      <c r="X51" s="51"/>
      <c r="Y51" s="48"/>
      <c r="Z51" s="49"/>
      <c r="AA51" s="50"/>
      <c r="AB51" s="47"/>
      <c r="AC51" s="48"/>
      <c r="AD51" s="49"/>
      <c r="AE51" s="50"/>
      <c r="AF51" s="82"/>
      <c r="AG51" s="48"/>
      <c r="AH51" s="49"/>
      <c r="AI51" s="50"/>
      <c r="AJ51" s="82"/>
      <c r="AK51" s="48"/>
      <c r="AL51" s="49"/>
      <c r="AM51" s="50"/>
      <c r="AN51" s="97"/>
      <c r="AO51" s="48"/>
      <c r="AP51" s="49"/>
      <c r="AQ51" s="50"/>
      <c r="AR51" s="51"/>
      <c r="AS51" s="48"/>
      <c r="AT51" s="49"/>
      <c r="AU51" s="51"/>
      <c r="AV51" s="47"/>
      <c r="AW51" s="48"/>
      <c r="AX51" s="49"/>
      <c r="AY51" s="50"/>
      <c r="AZ51" s="51"/>
      <c r="BA51" s="48"/>
      <c r="BB51" s="49"/>
      <c r="BC51" s="50"/>
      <c r="BD51" s="51"/>
      <c r="BE51" s="48"/>
      <c r="BF51" s="49"/>
      <c r="BG51" s="50"/>
      <c r="BH51" s="64"/>
      <c r="BI51" s="51">
        <f t="shared" si="3"/>
        <v>0</v>
      </c>
      <c r="BJ51" s="51">
        <f t="shared" si="4"/>
        <v>0</v>
      </c>
      <c r="BK51" s="51">
        <f t="shared" si="5"/>
        <v>0</v>
      </c>
      <c r="BL51" s="51">
        <f t="shared" si="6"/>
        <v>0</v>
      </c>
      <c r="BM51" s="51">
        <f t="shared" si="7"/>
        <v>0</v>
      </c>
      <c r="BN51" s="51">
        <f t="shared" si="8"/>
        <v>0</v>
      </c>
      <c r="BO51" s="51">
        <f t="shared" si="9"/>
        <v>0</v>
      </c>
      <c r="BP51" s="51">
        <f t="shared" si="10"/>
        <v>0</v>
      </c>
      <c r="BQ51" s="85">
        <f t="shared" si="11"/>
        <v>0</v>
      </c>
      <c r="BR51" s="64"/>
      <c r="BS51" s="64"/>
      <c r="BT51" s="64"/>
      <c r="BU51" s="64"/>
      <c r="BV51" s="64"/>
      <c r="BW51" s="64"/>
      <c r="BX51" s="64"/>
      <c r="BY51" s="64"/>
    </row>
    <row r="52" spans="1:77" s="75" customFormat="1" ht="17.25" customHeight="1" x14ac:dyDescent="0.25">
      <c r="A52" s="56">
        <v>287</v>
      </c>
      <c r="B52" s="53" t="s">
        <v>66</v>
      </c>
      <c r="C52" s="55"/>
      <c r="D52" s="47"/>
      <c r="E52" s="48"/>
      <c r="F52" s="49"/>
      <c r="G52" s="50"/>
      <c r="H52" s="51"/>
      <c r="I52" s="48"/>
      <c r="J52" s="49"/>
      <c r="K52" s="51"/>
      <c r="L52" s="47"/>
      <c r="M52" s="48"/>
      <c r="N52" s="49"/>
      <c r="O52" s="51"/>
      <c r="P52" s="47"/>
      <c r="Q52" s="48"/>
      <c r="R52" s="49"/>
      <c r="S52" s="51"/>
      <c r="T52" s="47"/>
      <c r="U52" s="48"/>
      <c r="V52" s="49"/>
      <c r="W52" s="50"/>
      <c r="X52" s="82"/>
      <c r="Y52" s="48"/>
      <c r="Z52" s="49"/>
      <c r="AA52" s="50"/>
      <c r="AB52" s="47"/>
      <c r="AC52" s="48"/>
      <c r="AD52" s="49"/>
      <c r="AE52" s="50"/>
      <c r="AF52" s="82"/>
      <c r="AG52" s="48"/>
      <c r="AH52" s="49"/>
      <c r="AI52" s="50"/>
      <c r="AJ52" s="82"/>
      <c r="AK52" s="48"/>
      <c r="AL52" s="49"/>
      <c r="AM52" s="50"/>
      <c r="AN52" s="97"/>
      <c r="AO52" s="48"/>
      <c r="AP52" s="49"/>
      <c r="AQ52" s="50"/>
      <c r="AR52" s="47"/>
      <c r="AS52" s="48"/>
      <c r="AT52" s="49"/>
      <c r="AU52" s="50"/>
      <c r="AV52" s="47"/>
      <c r="AW52" s="48"/>
      <c r="AX52" s="49"/>
      <c r="AY52" s="50"/>
      <c r="AZ52" s="47"/>
      <c r="BA52" s="48"/>
      <c r="BB52" s="49"/>
      <c r="BC52" s="50"/>
      <c r="BD52" s="51"/>
      <c r="BE52" s="48"/>
      <c r="BF52" s="49"/>
      <c r="BG52" s="50"/>
      <c r="BH52" s="64"/>
      <c r="BI52" s="51">
        <f t="shared" si="3"/>
        <v>0</v>
      </c>
      <c r="BJ52" s="51">
        <f t="shared" si="4"/>
        <v>0</v>
      </c>
      <c r="BK52" s="51">
        <f t="shared" si="5"/>
        <v>0</v>
      </c>
      <c r="BL52" s="51">
        <f t="shared" si="6"/>
        <v>0</v>
      </c>
      <c r="BM52" s="51">
        <f t="shared" si="7"/>
        <v>0</v>
      </c>
      <c r="BN52" s="51">
        <f t="shared" si="8"/>
        <v>0</v>
      </c>
      <c r="BO52" s="51">
        <f t="shared" si="9"/>
        <v>0</v>
      </c>
      <c r="BP52" s="51">
        <f t="shared" si="10"/>
        <v>0</v>
      </c>
      <c r="BQ52" s="85">
        <f t="shared" si="11"/>
        <v>0</v>
      </c>
      <c r="BR52" s="51"/>
      <c r="BS52" s="51"/>
      <c r="BT52" s="51"/>
      <c r="BU52" s="51"/>
      <c r="BV52" s="51"/>
      <c r="BW52" s="51"/>
      <c r="BX52" s="51"/>
      <c r="BY52" s="64"/>
    </row>
    <row r="53" spans="1:77" s="75" customFormat="1" ht="18" x14ac:dyDescent="0.25">
      <c r="A53" s="52">
        <v>5775</v>
      </c>
      <c r="B53" s="53" t="s">
        <v>84</v>
      </c>
      <c r="C53" s="54"/>
      <c r="D53" s="47"/>
      <c r="E53" s="48"/>
      <c r="F53" s="49"/>
      <c r="G53" s="50"/>
      <c r="H53" s="51"/>
      <c r="I53" s="48"/>
      <c r="J53" s="49"/>
      <c r="K53" s="51"/>
      <c r="L53" s="47"/>
      <c r="M53" s="48"/>
      <c r="N53" s="49"/>
      <c r="O53" s="51"/>
      <c r="P53" s="47"/>
      <c r="Q53" s="48"/>
      <c r="R53" s="49"/>
      <c r="S53" s="51"/>
      <c r="T53" s="47"/>
      <c r="U53" s="48"/>
      <c r="V53" s="49"/>
      <c r="W53" s="50"/>
      <c r="X53" s="82"/>
      <c r="Y53" s="48"/>
      <c r="Z53" s="49"/>
      <c r="AA53" s="50"/>
      <c r="AB53" s="47"/>
      <c r="AC53" s="48"/>
      <c r="AD53" s="49"/>
      <c r="AE53" s="50"/>
      <c r="AF53" s="82"/>
      <c r="AG53" s="48"/>
      <c r="AH53" s="49"/>
      <c r="AI53" s="50"/>
      <c r="AJ53" s="82"/>
      <c r="AK53" s="48"/>
      <c r="AL53" s="49"/>
      <c r="AM53" s="50"/>
      <c r="AN53" s="97"/>
      <c r="AO53" s="48"/>
      <c r="AP53" s="49"/>
      <c r="AQ53" s="50"/>
      <c r="AR53" s="47"/>
      <c r="AS53" s="48"/>
      <c r="AT53" s="49"/>
      <c r="AU53" s="50"/>
      <c r="AV53" s="51"/>
      <c r="AW53" s="48"/>
      <c r="AX53" s="49"/>
      <c r="AY53" s="50"/>
      <c r="AZ53" s="51"/>
      <c r="BA53" s="48"/>
      <c r="BB53" s="49"/>
      <c r="BC53" s="50"/>
      <c r="BD53" s="51"/>
      <c r="BE53" s="48"/>
      <c r="BF53" s="49"/>
      <c r="BG53" s="50"/>
      <c r="BH53" s="64"/>
      <c r="BI53" s="51">
        <f t="shared" si="3"/>
        <v>0</v>
      </c>
      <c r="BJ53" s="51">
        <f t="shared" si="4"/>
        <v>0</v>
      </c>
      <c r="BK53" s="51">
        <f t="shared" si="5"/>
        <v>0</v>
      </c>
      <c r="BL53" s="51">
        <f t="shared" si="6"/>
        <v>0</v>
      </c>
      <c r="BM53" s="51">
        <f t="shared" si="7"/>
        <v>0</v>
      </c>
      <c r="BN53" s="51">
        <f t="shared" si="8"/>
        <v>0</v>
      </c>
      <c r="BO53" s="51">
        <f t="shared" si="9"/>
        <v>0</v>
      </c>
      <c r="BP53" s="51">
        <f t="shared" si="10"/>
        <v>0</v>
      </c>
      <c r="BQ53" s="85">
        <f t="shared" si="11"/>
        <v>0</v>
      </c>
      <c r="BR53" s="64"/>
      <c r="BS53" s="64"/>
      <c r="BT53" s="64"/>
      <c r="BU53" s="64"/>
      <c r="BV53" s="64"/>
      <c r="BW53" s="64"/>
      <c r="BX53" s="64"/>
      <c r="BY53" s="64"/>
    </row>
    <row r="54" spans="1:77" s="75" customFormat="1" ht="18" x14ac:dyDescent="0.25">
      <c r="A54" s="52">
        <v>92899</v>
      </c>
      <c r="B54" s="53" t="s">
        <v>38</v>
      </c>
      <c r="C54" s="55"/>
      <c r="D54" s="47"/>
      <c r="E54" s="48"/>
      <c r="F54" s="49"/>
      <c r="G54" s="50"/>
      <c r="H54" s="51"/>
      <c r="I54" s="48"/>
      <c r="J54" s="49"/>
      <c r="K54" s="51"/>
      <c r="L54" s="47"/>
      <c r="M54" s="48"/>
      <c r="N54" s="49"/>
      <c r="O54" s="51"/>
      <c r="P54" s="47"/>
      <c r="Q54" s="48"/>
      <c r="R54" s="49"/>
      <c r="S54" s="51"/>
      <c r="T54" s="47"/>
      <c r="U54" s="48"/>
      <c r="V54" s="49"/>
      <c r="W54" s="50"/>
      <c r="X54" s="82"/>
      <c r="Y54" s="48"/>
      <c r="Z54" s="49"/>
      <c r="AA54" s="50"/>
      <c r="AB54" s="47"/>
      <c r="AC54" s="48"/>
      <c r="AD54" s="49"/>
      <c r="AE54" s="50"/>
      <c r="AF54" s="82"/>
      <c r="AG54" s="48"/>
      <c r="AH54" s="49"/>
      <c r="AI54" s="50"/>
      <c r="AJ54" s="82"/>
      <c r="AK54" s="48"/>
      <c r="AL54" s="49"/>
      <c r="AM54" s="50"/>
      <c r="AN54" s="97"/>
      <c r="AO54" s="48"/>
      <c r="AP54" s="49"/>
      <c r="AQ54" s="50"/>
      <c r="AR54" s="47"/>
      <c r="AS54" s="48"/>
      <c r="AT54" s="49"/>
      <c r="AU54" s="50"/>
      <c r="AV54" s="51"/>
      <c r="AW54" s="48"/>
      <c r="AX54" s="49"/>
      <c r="AY54" s="50"/>
      <c r="AZ54" s="51"/>
      <c r="BA54" s="48"/>
      <c r="BB54" s="49"/>
      <c r="BC54" s="50"/>
      <c r="BD54" s="51"/>
      <c r="BE54" s="48"/>
      <c r="BF54" s="49"/>
      <c r="BG54" s="50"/>
      <c r="BH54" s="64"/>
      <c r="BI54" s="51">
        <f t="shared" si="3"/>
        <v>0</v>
      </c>
      <c r="BJ54" s="51">
        <f t="shared" si="4"/>
        <v>0</v>
      </c>
      <c r="BK54" s="51">
        <f t="shared" si="5"/>
        <v>0</v>
      </c>
      <c r="BL54" s="51">
        <f t="shared" si="6"/>
        <v>0</v>
      </c>
      <c r="BM54" s="51">
        <f t="shared" si="7"/>
        <v>0</v>
      </c>
      <c r="BN54" s="51">
        <f t="shared" si="8"/>
        <v>0</v>
      </c>
      <c r="BO54" s="51">
        <f t="shared" si="9"/>
        <v>0</v>
      </c>
      <c r="BP54" s="51">
        <f t="shared" si="10"/>
        <v>0</v>
      </c>
      <c r="BQ54" s="85">
        <f t="shared" si="11"/>
        <v>0</v>
      </c>
      <c r="BR54" s="51"/>
      <c r="BS54" s="51"/>
      <c r="BT54" s="51"/>
      <c r="BU54" s="51"/>
      <c r="BV54" s="51"/>
      <c r="BW54" s="51"/>
      <c r="BX54" s="51"/>
      <c r="BY54" s="64"/>
    </row>
    <row r="55" spans="1:77" s="75" customFormat="1" ht="18" x14ac:dyDescent="0.25">
      <c r="A55" s="56">
        <v>92835</v>
      </c>
      <c r="B55" s="53" t="s">
        <v>39</v>
      </c>
      <c r="C55" s="55"/>
      <c r="D55" s="47"/>
      <c r="E55" s="48"/>
      <c r="F55" s="49"/>
      <c r="G55" s="50"/>
      <c r="H55" s="51"/>
      <c r="I55" s="48"/>
      <c r="J55" s="49"/>
      <c r="K55" s="51"/>
      <c r="L55" s="47"/>
      <c r="M55" s="48"/>
      <c r="N55" s="49"/>
      <c r="O55" s="51"/>
      <c r="P55" s="47"/>
      <c r="Q55" s="48"/>
      <c r="R55" s="49"/>
      <c r="S55" s="51"/>
      <c r="T55" s="47"/>
      <c r="U55" s="48"/>
      <c r="V55" s="49"/>
      <c r="W55" s="50"/>
      <c r="X55" s="82"/>
      <c r="Y55" s="48"/>
      <c r="Z55" s="49"/>
      <c r="AA55" s="50"/>
      <c r="AB55" s="47"/>
      <c r="AC55" s="48"/>
      <c r="AD55" s="49"/>
      <c r="AE55" s="50"/>
      <c r="AF55" s="82"/>
      <c r="AG55" s="48"/>
      <c r="AH55" s="49"/>
      <c r="AI55" s="50"/>
      <c r="AJ55" s="82"/>
      <c r="AK55" s="48"/>
      <c r="AL55" s="49"/>
      <c r="AM55" s="50"/>
      <c r="AN55" s="97"/>
      <c r="AO55" s="48"/>
      <c r="AP55" s="49"/>
      <c r="AQ55" s="50"/>
      <c r="AR55" s="47"/>
      <c r="AS55" s="48"/>
      <c r="AT55" s="49"/>
      <c r="AU55" s="50"/>
      <c r="AV55" s="51"/>
      <c r="AW55" s="48"/>
      <c r="AX55" s="49"/>
      <c r="AY55" s="50"/>
      <c r="AZ55" s="51"/>
      <c r="BA55" s="48"/>
      <c r="BB55" s="49"/>
      <c r="BC55" s="50"/>
      <c r="BD55" s="51"/>
      <c r="BE55" s="48"/>
      <c r="BF55" s="49"/>
      <c r="BG55" s="50"/>
      <c r="BH55" s="64"/>
      <c r="BI55" s="51">
        <f t="shared" si="3"/>
        <v>0</v>
      </c>
      <c r="BJ55" s="51">
        <f t="shared" si="4"/>
        <v>0</v>
      </c>
      <c r="BK55" s="51">
        <f t="shared" si="5"/>
        <v>0</v>
      </c>
      <c r="BL55" s="51">
        <f t="shared" si="6"/>
        <v>0</v>
      </c>
      <c r="BM55" s="51">
        <f t="shared" si="7"/>
        <v>0</v>
      </c>
      <c r="BN55" s="51">
        <f t="shared" si="8"/>
        <v>0</v>
      </c>
      <c r="BO55" s="51">
        <f t="shared" si="9"/>
        <v>0</v>
      </c>
      <c r="BP55" s="51">
        <f t="shared" si="10"/>
        <v>0</v>
      </c>
      <c r="BQ55" s="85">
        <f t="shared" si="11"/>
        <v>0</v>
      </c>
      <c r="BR55" s="51"/>
      <c r="BS55" s="51"/>
      <c r="BT55" s="51"/>
      <c r="BU55" s="51"/>
      <c r="BV55" s="51"/>
      <c r="BW55" s="51"/>
      <c r="BX55" s="51"/>
      <c r="BY55" s="64"/>
    </row>
    <row r="56" spans="1:77" s="75" customFormat="1" ht="18" x14ac:dyDescent="0.25">
      <c r="A56" s="52">
        <v>5858</v>
      </c>
      <c r="B56" s="57" t="s">
        <v>95</v>
      </c>
      <c r="C56" s="55"/>
      <c r="D56" s="47">
        <f>218.19</f>
        <v>218.19</v>
      </c>
      <c r="E56" s="48">
        <f>21.81</f>
        <v>21.81</v>
      </c>
      <c r="F56" s="49"/>
      <c r="G56" s="50"/>
      <c r="H56" s="51"/>
      <c r="I56" s="48"/>
      <c r="J56" s="49"/>
      <c r="K56" s="51"/>
      <c r="L56" s="47"/>
      <c r="M56" s="48"/>
      <c r="N56" s="49"/>
      <c r="O56" s="51"/>
      <c r="P56" s="47"/>
      <c r="Q56" s="48"/>
      <c r="R56" s="49"/>
      <c r="S56" s="51"/>
      <c r="T56" s="47"/>
      <c r="U56" s="48"/>
      <c r="V56" s="49"/>
      <c r="W56" s="50"/>
      <c r="X56" s="109"/>
      <c r="Y56" s="48"/>
      <c r="Z56" s="49"/>
      <c r="AA56" s="50"/>
      <c r="AB56" s="47">
        <v>722.46</v>
      </c>
      <c r="AC56" s="48">
        <v>72.260000000000005</v>
      </c>
      <c r="AD56" s="49"/>
      <c r="AE56" s="50"/>
      <c r="AF56" s="82"/>
      <c r="AG56" s="48"/>
      <c r="AH56" s="49"/>
      <c r="AI56" s="50"/>
      <c r="AJ56" s="82"/>
      <c r="AK56" s="48"/>
      <c r="AL56" s="49"/>
      <c r="AM56" s="50"/>
      <c r="AN56" s="97"/>
      <c r="AO56" s="48"/>
      <c r="AP56" s="49"/>
      <c r="AQ56" s="50"/>
      <c r="AR56" s="47"/>
      <c r="AS56" s="48"/>
      <c r="AT56" s="49"/>
      <c r="AU56" s="50"/>
      <c r="AV56" s="51"/>
      <c r="AW56" s="48"/>
      <c r="AX56" s="49"/>
      <c r="AY56" s="50"/>
      <c r="AZ56" s="51">
        <f>493.73+0.01</f>
        <v>493.74</v>
      </c>
      <c r="BA56" s="48">
        <f>49</f>
        <v>49</v>
      </c>
      <c r="BB56" s="49"/>
      <c r="BC56" s="50"/>
      <c r="BD56" s="51">
        <f>400+118.12+228.01</f>
        <v>746.13</v>
      </c>
      <c r="BE56" s="48">
        <f>22.8+11.81+40</f>
        <v>74.61</v>
      </c>
      <c r="BF56" s="49"/>
      <c r="BG56" s="50"/>
      <c r="BH56" s="64"/>
      <c r="BI56" s="51">
        <f t="shared" si="3"/>
        <v>2180.52</v>
      </c>
      <c r="BJ56" s="51">
        <f t="shared" si="4"/>
        <v>217.68</v>
      </c>
      <c r="BK56" s="51">
        <f t="shared" si="5"/>
        <v>0</v>
      </c>
      <c r="BL56" s="51">
        <f t="shared" si="6"/>
        <v>0</v>
      </c>
      <c r="BM56" s="51">
        <f t="shared" si="7"/>
        <v>94.070000000000007</v>
      </c>
      <c r="BN56" s="51">
        <f t="shared" si="8"/>
        <v>123.61</v>
      </c>
      <c r="BO56" s="51">
        <f t="shared" si="9"/>
        <v>217.68</v>
      </c>
      <c r="BP56" s="51">
        <f t="shared" si="10"/>
        <v>0</v>
      </c>
      <c r="BQ56" s="85">
        <f t="shared" si="11"/>
        <v>9.9829398492102803E-2</v>
      </c>
      <c r="BR56" s="64"/>
      <c r="BS56" s="64"/>
      <c r="BT56" s="64"/>
      <c r="BU56" s="64"/>
      <c r="BV56" s="64"/>
      <c r="BW56" s="64"/>
      <c r="BX56" s="64"/>
      <c r="BY56" s="64"/>
    </row>
    <row r="57" spans="1:77" s="75" customFormat="1" ht="18" x14ac:dyDescent="0.25">
      <c r="A57" s="56">
        <v>5586</v>
      </c>
      <c r="B57" s="53" t="s">
        <v>71</v>
      </c>
      <c r="C57" s="55"/>
      <c r="D57" s="47"/>
      <c r="E57" s="48"/>
      <c r="F57" s="49"/>
      <c r="G57" s="50"/>
      <c r="H57" s="51"/>
      <c r="I57" s="48"/>
      <c r="J57" s="49"/>
      <c r="K57" s="51"/>
      <c r="L57" s="47"/>
      <c r="M57" s="48"/>
      <c r="N57" s="49"/>
      <c r="O57" s="51"/>
      <c r="P57" s="47"/>
      <c r="Q57" s="48"/>
      <c r="R57" s="49"/>
      <c r="S57" s="51"/>
      <c r="T57" s="47"/>
      <c r="U57" s="48"/>
      <c r="V57" s="49"/>
      <c r="W57" s="50"/>
      <c r="X57" s="82"/>
      <c r="Y57" s="48"/>
      <c r="Z57" s="49"/>
      <c r="AA57" s="50"/>
      <c r="AB57" s="47"/>
      <c r="AC57" s="48"/>
      <c r="AD57" s="49"/>
      <c r="AE57" s="50"/>
      <c r="AF57" s="82"/>
      <c r="AG57" s="48"/>
      <c r="AH57" s="49"/>
      <c r="AI57" s="50"/>
      <c r="AJ57" s="82"/>
      <c r="AK57" s="48"/>
      <c r="AL57" s="49"/>
      <c r="AM57" s="50"/>
      <c r="AN57" s="97"/>
      <c r="AO57" s="48"/>
      <c r="AP57" s="49"/>
      <c r="AQ57" s="50"/>
      <c r="AR57" s="47"/>
      <c r="AS57" s="48"/>
      <c r="AT57" s="49"/>
      <c r="AU57" s="50"/>
      <c r="AV57" s="51"/>
      <c r="AW57" s="48"/>
      <c r="AX57" s="49"/>
      <c r="AY57" s="50"/>
      <c r="AZ57" s="51"/>
      <c r="BA57" s="48"/>
      <c r="BB57" s="49"/>
      <c r="BC57" s="50"/>
      <c r="BD57" s="51"/>
      <c r="BE57" s="48"/>
      <c r="BF57" s="49"/>
      <c r="BG57" s="50"/>
      <c r="BH57" s="64"/>
      <c r="BI57" s="51">
        <f t="shared" si="3"/>
        <v>0</v>
      </c>
      <c r="BJ57" s="51">
        <f t="shared" si="4"/>
        <v>0</v>
      </c>
      <c r="BK57" s="51">
        <f t="shared" si="5"/>
        <v>0</v>
      </c>
      <c r="BL57" s="51">
        <f t="shared" si="6"/>
        <v>0</v>
      </c>
      <c r="BM57" s="51">
        <f t="shared" si="7"/>
        <v>0</v>
      </c>
      <c r="BN57" s="51">
        <f t="shared" si="8"/>
        <v>0</v>
      </c>
      <c r="BO57" s="51">
        <f t="shared" si="9"/>
        <v>0</v>
      </c>
      <c r="BP57" s="51">
        <f t="shared" si="10"/>
        <v>0</v>
      </c>
      <c r="BQ57" s="85">
        <f t="shared" si="11"/>
        <v>0</v>
      </c>
      <c r="BR57" s="51"/>
      <c r="BS57" s="51"/>
      <c r="BT57" s="51"/>
      <c r="BU57" s="51"/>
      <c r="BV57" s="51"/>
      <c r="BW57" s="51"/>
      <c r="BX57" s="51"/>
      <c r="BY57" s="64"/>
    </row>
    <row r="58" spans="1:77" s="75" customFormat="1" ht="18" x14ac:dyDescent="0.25">
      <c r="A58" s="52">
        <v>93614</v>
      </c>
      <c r="B58" s="53" t="s">
        <v>40</v>
      </c>
      <c r="C58" s="55"/>
      <c r="D58" s="47"/>
      <c r="E58" s="48"/>
      <c r="F58" s="49"/>
      <c r="G58" s="50"/>
      <c r="H58" s="51"/>
      <c r="I58" s="48"/>
      <c r="J58" s="49"/>
      <c r="K58" s="51"/>
      <c r="L58" s="47"/>
      <c r="M58" s="48"/>
      <c r="N58" s="49"/>
      <c r="O58" s="51"/>
      <c r="P58" s="47"/>
      <c r="Q58" s="48"/>
      <c r="R58" s="49"/>
      <c r="S58" s="51"/>
      <c r="T58" s="47"/>
      <c r="U58" s="48"/>
      <c r="V58" s="49"/>
      <c r="W58" s="50"/>
      <c r="X58" s="82"/>
      <c r="Y58" s="48"/>
      <c r="Z58" s="49"/>
      <c r="AA58" s="50"/>
      <c r="AB58" s="47"/>
      <c r="AC58" s="48"/>
      <c r="AD58" s="49"/>
      <c r="AE58" s="50"/>
      <c r="AF58" s="82"/>
      <c r="AG58" s="48"/>
      <c r="AH58" s="49"/>
      <c r="AI58" s="50"/>
      <c r="AJ58" s="82"/>
      <c r="AK58" s="48"/>
      <c r="AL58" s="49"/>
      <c r="AM58" s="50"/>
      <c r="AN58" s="97"/>
      <c r="AO58" s="48"/>
      <c r="AP58" s="49"/>
      <c r="AQ58" s="50"/>
      <c r="AR58" s="47"/>
      <c r="AS58" s="48"/>
      <c r="AT58" s="49"/>
      <c r="AU58" s="50"/>
      <c r="AV58" s="51"/>
      <c r="AW58" s="48"/>
      <c r="AX58" s="49"/>
      <c r="AY58" s="50"/>
      <c r="AZ58" s="51"/>
      <c r="BA58" s="48"/>
      <c r="BB58" s="49"/>
      <c r="BC58" s="50"/>
      <c r="BD58" s="51"/>
      <c r="BE58" s="48"/>
      <c r="BF58" s="49"/>
      <c r="BG58" s="50"/>
      <c r="BH58" s="64"/>
      <c r="BI58" s="51">
        <f t="shared" si="3"/>
        <v>0</v>
      </c>
      <c r="BJ58" s="51">
        <f t="shared" si="4"/>
        <v>0</v>
      </c>
      <c r="BK58" s="51">
        <f t="shared" si="5"/>
        <v>0</v>
      </c>
      <c r="BL58" s="51">
        <f t="shared" si="6"/>
        <v>0</v>
      </c>
      <c r="BM58" s="51">
        <f t="shared" si="7"/>
        <v>0</v>
      </c>
      <c r="BN58" s="51">
        <f t="shared" si="8"/>
        <v>0</v>
      </c>
      <c r="BO58" s="51">
        <f t="shared" si="9"/>
        <v>0</v>
      </c>
      <c r="BP58" s="51">
        <f t="shared" si="10"/>
        <v>0</v>
      </c>
      <c r="BQ58" s="85">
        <f t="shared" si="11"/>
        <v>0</v>
      </c>
      <c r="BR58" s="51"/>
      <c r="BS58" s="51"/>
      <c r="BT58" s="51"/>
      <c r="BU58" s="51"/>
      <c r="BV58" s="51"/>
      <c r="BW58" s="51"/>
      <c r="BX58" s="51"/>
      <c r="BY58" s="64"/>
    </row>
    <row r="59" spans="1:77" s="75" customFormat="1" ht="18" x14ac:dyDescent="0.25">
      <c r="A59" s="52">
        <v>93127</v>
      </c>
      <c r="B59" s="53" t="s">
        <v>41</v>
      </c>
      <c r="C59" s="55"/>
      <c r="D59" s="47"/>
      <c r="E59" s="48"/>
      <c r="F59" s="49"/>
      <c r="G59" s="50"/>
      <c r="H59" s="51"/>
      <c r="I59" s="48"/>
      <c r="J59" s="49"/>
      <c r="K59" s="51"/>
      <c r="L59" s="47"/>
      <c r="M59" s="48"/>
      <c r="N59" s="49"/>
      <c r="O59" s="50"/>
      <c r="P59" s="51"/>
      <c r="Q59" s="48"/>
      <c r="R59" s="49"/>
      <c r="S59" s="51"/>
      <c r="T59" s="47"/>
      <c r="U59" s="48"/>
      <c r="V59" s="49"/>
      <c r="W59" s="50"/>
      <c r="X59" s="82"/>
      <c r="Y59" s="48"/>
      <c r="Z59" s="49"/>
      <c r="AA59" s="50"/>
      <c r="AB59" s="47"/>
      <c r="AC59" s="48"/>
      <c r="AD59" s="49"/>
      <c r="AE59" s="50"/>
      <c r="AF59" s="82"/>
      <c r="AG59" s="48"/>
      <c r="AH59" s="49"/>
      <c r="AI59" s="50"/>
      <c r="AJ59" s="82"/>
      <c r="AK59" s="48"/>
      <c r="AL59" s="49"/>
      <c r="AM59" s="50"/>
      <c r="AN59" s="97"/>
      <c r="AO59" s="48"/>
      <c r="AP59" s="49"/>
      <c r="AQ59" s="50"/>
      <c r="AR59" s="47"/>
      <c r="AS59" s="48"/>
      <c r="AT59" s="49"/>
      <c r="AU59" s="50"/>
      <c r="AV59" s="51"/>
      <c r="AW59" s="48"/>
      <c r="AX59" s="49"/>
      <c r="AY59" s="50"/>
      <c r="AZ59" s="51"/>
      <c r="BA59" s="48"/>
      <c r="BB59" s="49"/>
      <c r="BC59" s="50"/>
      <c r="BD59" s="51"/>
      <c r="BE59" s="48"/>
      <c r="BF59" s="49"/>
      <c r="BG59" s="50"/>
      <c r="BH59" s="64"/>
      <c r="BI59" s="51">
        <f t="shared" si="3"/>
        <v>0</v>
      </c>
      <c r="BJ59" s="51">
        <f t="shared" si="4"/>
        <v>0</v>
      </c>
      <c r="BK59" s="51">
        <f t="shared" si="5"/>
        <v>0</v>
      </c>
      <c r="BL59" s="51">
        <f t="shared" si="6"/>
        <v>0</v>
      </c>
      <c r="BM59" s="51">
        <f t="shared" si="7"/>
        <v>0</v>
      </c>
      <c r="BN59" s="51">
        <f t="shared" si="8"/>
        <v>0</v>
      </c>
      <c r="BO59" s="51">
        <f t="shared" si="9"/>
        <v>0</v>
      </c>
      <c r="BP59" s="51">
        <f t="shared" si="10"/>
        <v>0</v>
      </c>
      <c r="BQ59" s="85">
        <f t="shared" si="11"/>
        <v>0</v>
      </c>
      <c r="BR59" s="51"/>
      <c r="BS59" s="51"/>
      <c r="BT59" s="51"/>
      <c r="BU59" s="51"/>
      <c r="BV59" s="51"/>
      <c r="BW59" s="51"/>
      <c r="BX59" s="51"/>
      <c r="BY59" s="64"/>
    </row>
    <row r="60" spans="1:77" s="75" customFormat="1" ht="18" x14ac:dyDescent="0.25">
      <c r="A60" s="52">
        <v>3886</v>
      </c>
      <c r="B60" s="53" t="s">
        <v>42</v>
      </c>
      <c r="C60" s="55"/>
      <c r="D60" s="47"/>
      <c r="E60" s="48"/>
      <c r="F60" s="49"/>
      <c r="G60" s="50"/>
      <c r="H60" s="51"/>
      <c r="I60" s="48"/>
      <c r="J60" s="49"/>
      <c r="K60" s="50"/>
      <c r="L60" s="51"/>
      <c r="M60" s="48"/>
      <c r="N60" s="49"/>
      <c r="O60" s="50"/>
      <c r="P60" s="51"/>
      <c r="Q60" s="48"/>
      <c r="R60" s="49"/>
      <c r="S60" s="51"/>
      <c r="T60" s="47"/>
      <c r="U60" s="48"/>
      <c r="V60" s="49"/>
      <c r="W60" s="50"/>
      <c r="X60" s="82"/>
      <c r="Y60" s="48"/>
      <c r="Z60" s="49"/>
      <c r="AA60" s="50"/>
      <c r="AB60" s="47"/>
      <c r="AC60" s="48"/>
      <c r="AD60" s="49"/>
      <c r="AE60" s="50"/>
      <c r="AF60" s="82"/>
      <c r="AG60" s="48"/>
      <c r="AH60" s="49"/>
      <c r="AI60" s="50"/>
      <c r="AJ60" s="82"/>
      <c r="AK60" s="48"/>
      <c r="AL60" s="49"/>
      <c r="AM60" s="50"/>
      <c r="AN60" s="97"/>
      <c r="AO60" s="48"/>
      <c r="AP60" s="49"/>
      <c r="AQ60" s="50"/>
      <c r="AR60" s="47"/>
      <c r="AS60" s="48"/>
      <c r="AT60" s="49"/>
      <c r="AU60" s="50"/>
      <c r="AV60" s="51"/>
      <c r="AW60" s="48"/>
      <c r="AX60" s="49"/>
      <c r="AY60" s="50"/>
      <c r="AZ60" s="51"/>
      <c r="BA60" s="48"/>
      <c r="BB60" s="49"/>
      <c r="BC60" s="50"/>
      <c r="BD60" s="51"/>
      <c r="BE60" s="48"/>
      <c r="BF60" s="49"/>
      <c r="BG60" s="50"/>
      <c r="BH60" s="64"/>
      <c r="BI60" s="51">
        <f t="shared" si="3"/>
        <v>0</v>
      </c>
      <c r="BJ60" s="51">
        <f t="shared" si="4"/>
        <v>0</v>
      </c>
      <c r="BK60" s="51">
        <f t="shared" si="5"/>
        <v>0</v>
      </c>
      <c r="BL60" s="51">
        <f t="shared" si="6"/>
        <v>0</v>
      </c>
      <c r="BM60" s="51">
        <f t="shared" si="7"/>
        <v>0</v>
      </c>
      <c r="BN60" s="51">
        <f t="shared" si="8"/>
        <v>0</v>
      </c>
      <c r="BO60" s="51">
        <f t="shared" si="9"/>
        <v>0</v>
      </c>
      <c r="BP60" s="51">
        <f t="shared" si="10"/>
        <v>0</v>
      </c>
      <c r="BQ60" s="85">
        <f t="shared" si="11"/>
        <v>0</v>
      </c>
      <c r="BR60" s="51"/>
      <c r="BS60" s="51"/>
      <c r="BT60" s="51"/>
      <c r="BU60" s="51"/>
      <c r="BV60" s="51"/>
      <c r="BW60" s="51"/>
      <c r="BX60" s="51"/>
      <c r="BY60" s="64"/>
    </row>
    <row r="61" spans="1:77" s="75" customFormat="1" ht="18" x14ac:dyDescent="0.25">
      <c r="A61" s="52">
        <v>91714</v>
      </c>
      <c r="B61" s="53" t="s">
        <v>25</v>
      </c>
      <c r="C61" s="55"/>
      <c r="D61" s="47"/>
      <c r="E61" s="48"/>
      <c r="F61" s="49"/>
      <c r="G61" s="50"/>
      <c r="H61" s="51"/>
      <c r="I61" s="48"/>
      <c r="J61" s="49"/>
      <c r="K61" s="50"/>
      <c r="L61" s="51"/>
      <c r="M61" s="48"/>
      <c r="N61" s="49"/>
      <c r="O61" s="50"/>
      <c r="P61" s="51"/>
      <c r="Q61" s="48"/>
      <c r="R61" s="49"/>
      <c r="S61" s="51"/>
      <c r="T61" s="47">
        <v>118.71</v>
      </c>
      <c r="U61" s="48">
        <v>11.7</v>
      </c>
      <c r="V61" s="49"/>
      <c r="W61" s="50"/>
      <c r="X61" s="82"/>
      <c r="Y61" s="48"/>
      <c r="Z61" s="49"/>
      <c r="AA61" s="50"/>
      <c r="AB61" s="47"/>
      <c r="AC61" s="48"/>
      <c r="AD61" s="49"/>
      <c r="AE61" s="50"/>
      <c r="AF61" s="82"/>
      <c r="AG61" s="48"/>
      <c r="AH61" s="49"/>
      <c r="AI61" s="50"/>
      <c r="AJ61" s="82"/>
      <c r="AK61" s="48"/>
      <c r="AL61" s="49"/>
      <c r="AM61" s="50"/>
      <c r="AN61" s="97"/>
      <c r="AO61" s="48"/>
      <c r="AP61" s="49"/>
      <c r="AQ61" s="50"/>
      <c r="AR61" s="47"/>
      <c r="AS61" s="48"/>
      <c r="AT61" s="49"/>
      <c r="AU61" s="50"/>
      <c r="AV61" s="51"/>
      <c r="AW61" s="48"/>
      <c r="AX61" s="49"/>
      <c r="AY61" s="50"/>
      <c r="AZ61" s="51"/>
      <c r="BA61" s="48"/>
      <c r="BB61" s="49"/>
      <c r="BC61" s="50"/>
      <c r="BD61" s="51">
        <v>200.87</v>
      </c>
      <c r="BE61" s="48">
        <v>20</v>
      </c>
      <c r="BF61" s="49"/>
      <c r="BG61" s="50"/>
      <c r="BH61" s="64"/>
      <c r="BI61" s="51">
        <f t="shared" si="3"/>
        <v>319.58</v>
      </c>
      <c r="BJ61" s="51">
        <f t="shared" si="4"/>
        <v>31.7</v>
      </c>
      <c r="BK61" s="51">
        <f t="shared" si="5"/>
        <v>0</v>
      </c>
      <c r="BL61" s="51">
        <f t="shared" si="6"/>
        <v>0</v>
      </c>
      <c r="BM61" s="51">
        <f t="shared" si="7"/>
        <v>11.7</v>
      </c>
      <c r="BN61" s="51">
        <f t="shared" si="8"/>
        <v>20</v>
      </c>
      <c r="BO61" s="51">
        <f t="shared" si="9"/>
        <v>31.7</v>
      </c>
      <c r="BP61" s="51">
        <f t="shared" si="10"/>
        <v>0</v>
      </c>
      <c r="BQ61" s="85">
        <f t="shared" si="11"/>
        <v>9.9192690406158079E-2</v>
      </c>
      <c r="BR61" s="51"/>
      <c r="BS61" s="51"/>
      <c r="BT61" s="51"/>
      <c r="BU61" s="51"/>
      <c r="BV61" s="51"/>
      <c r="BW61" s="51"/>
      <c r="BX61" s="51"/>
      <c r="BY61" s="64"/>
    </row>
    <row r="62" spans="1:77" s="75" customFormat="1" ht="18" x14ac:dyDescent="0.25">
      <c r="A62" s="52">
        <v>4675</v>
      </c>
      <c r="B62" s="53" t="s">
        <v>43</v>
      </c>
      <c r="C62" s="55"/>
      <c r="D62" s="47"/>
      <c r="E62" s="48"/>
      <c r="F62" s="49"/>
      <c r="G62" s="50"/>
      <c r="H62" s="47">
        <v>1248.21</v>
      </c>
      <c r="I62" s="48">
        <v>124</v>
      </c>
      <c r="J62" s="49"/>
      <c r="K62" s="50"/>
      <c r="L62" s="51">
        <v>2002.5</v>
      </c>
      <c r="M62" s="48">
        <v>200</v>
      </c>
      <c r="N62" s="49"/>
      <c r="O62" s="50"/>
      <c r="P62" s="51">
        <v>1081.33</v>
      </c>
      <c r="Q62" s="48">
        <v>108</v>
      </c>
      <c r="R62" s="49"/>
      <c r="S62" s="51"/>
      <c r="T62" s="47"/>
      <c r="U62" s="48"/>
      <c r="V62" s="49"/>
      <c r="W62" s="50"/>
      <c r="X62" s="82"/>
      <c r="Y62" s="48"/>
      <c r="Z62" s="49"/>
      <c r="AA62" s="50"/>
      <c r="AB62" s="47">
        <v>2202.9699999999998</v>
      </c>
      <c r="AC62" s="48">
        <v>220</v>
      </c>
      <c r="AD62" s="49"/>
      <c r="AE62" s="50"/>
      <c r="AF62" s="82">
        <v>1622.05</v>
      </c>
      <c r="AG62" s="48">
        <v>162</v>
      </c>
      <c r="AH62" s="49"/>
      <c r="AI62" s="50"/>
      <c r="AJ62" s="82">
        <v>716.25</v>
      </c>
      <c r="AK62" s="48">
        <v>71</v>
      </c>
      <c r="AL62" s="49"/>
      <c r="AM62" s="50"/>
      <c r="AN62" s="97">
        <f>793.88</f>
        <v>793.88</v>
      </c>
      <c r="AO62" s="48">
        <v>79</v>
      </c>
      <c r="AP62" s="49"/>
      <c r="AQ62" s="50"/>
      <c r="AR62" s="47"/>
      <c r="AS62" s="48"/>
      <c r="AT62" s="49"/>
      <c r="AU62" s="50"/>
      <c r="AV62" s="51">
        <v>793.88</v>
      </c>
      <c r="AW62" s="48">
        <v>79</v>
      </c>
      <c r="AX62" s="49"/>
      <c r="AY62" s="50"/>
      <c r="AZ62" s="51"/>
      <c r="BA62" s="48"/>
      <c r="BB62" s="49"/>
      <c r="BC62" s="50"/>
      <c r="BD62" s="51">
        <v>1320.94</v>
      </c>
      <c r="BE62" s="48">
        <v>132</v>
      </c>
      <c r="BF62" s="49"/>
      <c r="BG62" s="50"/>
      <c r="BH62" s="64"/>
      <c r="BI62" s="51">
        <f t="shared" si="3"/>
        <v>11782.01</v>
      </c>
      <c r="BJ62" s="51">
        <f t="shared" si="4"/>
        <v>1175</v>
      </c>
      <c r="BK62" s="51">
        <f t="shared" si="5"/>
        <v>0</v>
      </c>
      <c r="BL62" s="51">
        <f t="shared" si="6"/>
        <v>0</v>
      </c>
      <c r="BM62" s="51">
        <f t="shared" si="7"/>
        <v>652</v>
      </c>
      <c r="BN62" s="51">
        <f t="shared" si="8"/>
        <v>523</v>
      </c>
      <c r="BO62" s="51">
        <f t="shared" si="9"/>
        <v>1175</v>
      </c>
      <c r="BP62" s="51">
        <f t="shared" si="10"/>
        <v>0</v>
      </c>
      <c r="BQ62" s="85">
        <f t="shared" si="11"/>
        <v>9.9728314608458143E-2</v>
      </c>
      <c r="BR62" s="64"/>
      <c r="BS62" s="64"/>
      <c r="BT62" s="64"/>
      <c r="BU62" s="64"/>
      <c r="BV62" s="64"/>
      <c r="BW62" s="64"/>
      <c r="BX62" s="64"/>
      <c r="BY62" s="64"/>
    </row>
    <row r="63" spans="1:77" s="75" customFormat="1" ht="18" x14ac:dyDescent="0.25">
      <c r="A63" s="52">
        <v>5463</v>
      </c>
      <c r="B63" s="57" t="s">
        <v>86</v>
      </c>
      <c r="C63" s="55"/>
      <c r="D63" s="47"/>
      <c r="E63" s="48"/>
      <c r="F63" s="49"/>
      <c r="G63" s="50"/>
      <c r="H63" s="51"/>
      <c r="I63" s="48"/>
      <c r="J63" s="49"/>
      <c r="K63" s="50"/>
      <c r="L63" s="51"/>
      <c r="M63" s="48"/>
      <c r="N63" s="49"/>
      <c r="O63" s="50"/>
      <c r="P63" s="47"/>
      <c r="Q63" s="48"/>
      <c r="R63" s="49"/>
      <c r="S63" s="51"/>
      <c r="T63" s="47"/>
      <c r="U63" s="48"/>
      <c r="V63" s="49"/>
      <c r="W63" s="50"/>
      <c r="X63" s="82"/>
      <c r="Y63" s="48"/>
      <c r="Z63" s="49"/>
      <c r="AA63" s="50"/>
      <c r="AB63" s="47"/>
      <c r="AC63" s="48"/>
      <c r="AD63" s="49"/>
      <c r="AE63" s="50"/>
      <c r="AF63" s="82"/>
      <c r="AG63" s="48"/>
      <c r="AH63" s="49"/>
      <c r="AI63" s="50"/>
      <c r="AJ63" s="82"/>
      <c r="AK63" s="48"/>
      <c r="AL63" s="49"/>
      <c r="AM63" s="50"/>
      <c r="AN63" s="101"/>
      <c r="AO63" s="48"/>
      <c r="AP63" s="49"/>
      <c r="AQ63" s="50"/>
      <c r="AR63" s="47"/>
      <c r="AS63" s="48"/>
      <c r="AT63" s="49"/>
      <c r="AU63" s="50"/>
      <c r="AV63" s="51"/>
      <c r="AW63" s="48"/>
      <c r="AX63" s="49"/>
      <c r="AY63" s="50"/>
      <c r="AZ63" s="51"/>
      <c r="BA63" s="48"/>
      <c r="BB63" s="49"/>
      <c r="BC63" s="50"/>
      <c r="BD63" s="51"/>
      <c r="BE63" s="48"/>
      <c r="BF63" s="49"/>
      <c r="BG63" s="50"/>
      <c r="BH63" s="64"/>
      <c r="BI63" s="51">
        <f t="shared" si="3"/>
        <v>0</v>
      </c>
      <c r="BJ63" s="51">
        <f t="shared" si="4"/>
        <v>0</v>
      </c>
      <c r="BK63" s="51">
        <f t="shared" si="5"/>
        <v>0</v>
      </c>
      <c r="BL63" s="51">
        <f t="shared" si="6"/>
        <v>0</v>
      </c>
      <c r="BM63" s="51">
        <f t="shared" si="7"/>
        <v>0</v>
      </c>
      <c r="BN63" s="51">
        <f t="shared" si="8"/>
        <v>0</v>
      </c>
      <c r="BO63" s="51">
        <f t="shared" si="9"/>
        <v>0</v>
      </c>
      <c r="BP63" s="51">
        <f t="shared" si="10"/>
        <v>0</v>
      </c>
      <c r="BQ63" s="85">
        <f t="shared" si="11"/>
        <v>0</v>
      </c>
      <c r="BR63" s="64"/>
      <c r="BS63" s="64"/>
      <c r="BT63" s="64"/>
      <c r="BU63" s="64"/>
      <c r="BV63" s="64"/>
      <c r="BW63" s="64"/>
      <c r="BX63" s="64"/>
      <c r="BY63" s="64"/>
    </row>
    <row r="64" spans="1:77" s="75" customFormat="1" ht="18" x14ac:dyDescent="0.25">
      <c r="A64" s="52">
        <v>5894</v>
      </c>
      <c r="B64" s="57" t="s">
        <v>100</v>
      </c>
      <c r="C64" s="55"/>
      <c r="D64" s="47"/>
      <c r="E64" s="48"/>
      <c r="F64" s="49"/>
      <c r="G64" s="50"/>
      <c r="H64" s="51"/>
      <c r="I64" s="48"/>
      <c r="J64" s="49"/>
      <c r="K64" s="50"/>
      <c r="L64" s="51"/>
      <c r="M64" s="48"/>
      <c r="N64" s="49"/>
      <c r="O64" s="50"/>
      <c r="P64" s="51"/>
      <c r="Q64" s="48"/>
      <c r="R64" s="49"/>
      <c r="S64" s="51"/>
      <c r="T64" s="47"/>
      <c r="U64" s="48"/>
      <c r="V64" s="49"/>
      <c r="W64" s="50"/>
      <c r="X64" s="82"/>
      <c r="Y64" s="48"/>
      <c r="Z64" s="49"/>
      <c r="AA64" s="50"/>
      <c r="AB64" s="47"/>
      <c r="AC64" s="48"/>
      <c r="AD64" s="49"/>
      <c r="AE64" s="50"/>
      <c r="AF64" s="82"/>
      <c r="AG64" s="48"/>
      <c r="AH64" s="49"/>
      <c r="AI64" s="50"/>
      <c r="AJ64" s="82"/>
      <c r="AK64" s="48"/>
      <c r="AL64" s="49"/>
      <c r="AM64" s="50"/>
      <c r="AN64" s="97"/>
      <c r="AO64" s="48"/>
      <c r="AP64" s="49"/>
      <c r="AQ64" s="50"/>
      <c r="AR64" s="47"/>
      <c r="AS64" s="48"/>
      <c r="AT64" s="49"/>
      <c r="AU64" s="50"/>
      <c r="AV64" s="51"/>
      <c r="AW64" s="48"/>
      <c r="AX64" s="49"/>
      <c r="AY64" s="50"/>
      <c r="AZ64" s="51"/>
      <c r="BA64" s="48"/>
      <c r="BB64" s="49"/>
      <c r="BC64" s="50"/>
      <c r="BD64" s="51"/>
      <c r="BE64" s="48"/>
      <c r="BF64" s="49"/>
      <c r="BG64" s="50"/>
      <c r="BH64" s="64"/>
      <c r="BI64" s="51">
        <f t="shared" si="3"/>
        <v>0</v>
      </c>
      <c r="BJ64" s="51">
        <f t="shared" si="4"/>
        <v>0</v>
      </c>
      <c r="BK64" s="51">
        <f>+F64+J64+N64+R64+V65+Z64+AD64+AH64+AL64+AP64+AT64+AX64+BB64+BF64</f>
        <v>0</v>
      </c>
      <c r="BL64" s="51">
        <f t="shared" si="6"/>
        <v>0</v>
      </c>
      <c r="BM64" s="51">
        <f>+E64-F64+G64+I64-J64+K64+M64-N64+O64+Q64-R64+S64+U64-V65+W64+Y64-Z64+AA64+AC64-AD64+AE64</f>
        <v>0</v>
      </c>
      <c r="BN64" s="51">
        <f t="shared" si="8"/>
        <v>0</v>
      </c>
      <c r="BO64" s="51">
        <f t="shared" si="9"/>
        <v>0</v>
      </c>
      <c r="BP64" s="51">
        <f t="shared" si="10"/>
        <v>0</v>
      </c>
      <c r="BQ64" s="85">
        <f t="shared" si="11"/>
        <v>0</v>
      </c>
      <c r="BR64" s="64"/>
      <c r="BS64" s="64"/>
      <c r="BT64" s="64"/>
      <c r="BU64" s="64"/>
      <c r="BV64" s="64"/>
      <c r="BW64" s="64"/>
      <c r="BX64" s="64"/>
      <c r="BY64" s="64"/>
    </row>
    <row r="65" spans="1:77" s="75" customFormat="1" ht="18" x14ac:dyDescent="0.25">
      <c r="A65" s="52">
        <v>5852</v>
      </c>
      <c r="B65" s="57" t="s">
        <v>92</v>
      </c>
      <c r="C65" s="55"/>
      <c r="D65" s="47"/>
      <c r="E65" s="48"/>
      <c r="F65" s="49"/>
      <c r="G65" s="50"/>
      <c r="H65" s="51"/>
      <c r="I65" s="48"/>
      <c r="J65" s="49"/>
      <c r="K65" s="50"/>
      <c r="L65" s="51"/>
      <c r="M65" s="48"/>
      <c r="N65" s="49"/>
      <c r="O65" s="50"/>
      <c r="P65" s="51"/>
      <c r="Q65" s="48"/>
      <c r="R65" s="49"/>
      <c r="S65" s="51"/>
      <c r="T65" s="47"/>
      <c r="U65" s="48"/>
      <c r="V65" s="49"/>
      <c r="W65" s="50"/>
      <c r="X65" s="82"/>
      <c r="Y65" s="48"/>
      <c r="Z65" s="49"/>
      <c r="AA65" s="50"/>
      <c r="AB65" s="47"/>
      <c r="AC65" s="48"/>
      <c r="AD65" s="49"/>
      <c r="AE65" s="50"/>
      <c r="AF65" s="82"/>
      <c r="AG65" s="48"/>
      <c r="AH65" s="49"/>
      <c r="AI65" s="50"/>
      <c r="AJ65" s="82"/>
      <c r="AK65" s="48"/>
      <c r="AL65" s="49"/>
      <c r="AM65" s="50"/>
      <c r="AN65" s="97"/>
      <c r="AO65" s="48"/>
      <c r="AP65" s="49"/>
      <c r="AQ65" s="50"/>
      <c r="AR65" s="47"/>
      <c r="AS65" s="48"/>
      <c r="AT65" s="49"/>
      <c r="AU65" s="50"/>
      <c r="AV65" s="51"/>
      <c r="AW65" s="48"/>
      <c r="AX65" s="49"/>
      <c r="AY65" s="50"/>
      <c r="AZ65" s="51"/>
      <c r="BA65" s="48"/>
      <c r="BB65" s="49"/>
      <c r="BC65" s="50"/>
      <c r="BD65" s="51"/>
      <c r="BE65" s="48"/>
      <c r="BF65" s="49"/>
      <c r="BG65" s="50"/>
      <c r="BH65" s="64"/>
      <c r="BI65" s="51">
        <f t="shared" si="3"/>
        <v>0</v>
      </c>
      <c r="BJ65" s="51">
        <f t="shared" si="4"/>
        <v>0</v>
      </c>
      <c r="BK65" s="51">
        <f t="shared" si="5"/>
        <v>0</v>
      </c>
      <c r="BL65" s="51">
        <f t="shared" si="6"/>
        <v>0</v>
      </c>
      <c r="BM65" s="51">
        <f t="shared" si="7"/>
        <v>0</v>
      </c>
      <c r="BN65" s="51">
        <f t="shared" si="8"/>
        <v>0</v>
      </c>
      <c r="BO65" s="51">
        <f t="shared" si="9"/>
        <v>0</v>
      </c>
      <c r="BP65" s="51">
        <f t="shared" si="10"/>
        <v>0</v>
      </c>
      <c r="BQ65" s="85">
        <f t="shared" si="11"/>
        <v>0</v>
      </c>
      <c r="BR65" s="64"/>
      <c r="BS65" s="64"/>
      <c r="BT65" s="64"/>
      <c r="BU65" s="64"/>
      <c r="BV65" s="64"/>
      <c r="BW65" s="64"/>
      <c r="BX65" s="64"/>
      <c r="BY65" s="64"/>
    </row>
    <row r="66" spans="1:77" s="75" customFormat="1" ht="18" x14ac:dyDescent="0.25">
      <c r="A66" s="52">
        <v>3977</v>
      </c>
      <c r="B66" s="53" t="s">
        <v>44</v>
      </c>
      <c r="C66" s="53"/>
      <c r="D66" s="47"/>
      <c r="E66" s="48"/>
      <c r="F66" s="49"/>
      <c r="G66" s="50"/>
      <c r="H66" s="51"/>
      <c r="I66" s="48"/>
      <c r="J66" s="49"/>
      <c r="K66" s="50"/>
      <c r="L66" s="51"/>
      <c r="M66" s="48"/>
      <c r="N66" s="49"/>
      <c r="O66" s="50"/>
      <c r="P66" s="51"/>
      <c r="Q66" s="48"/>
      <c r="R66" s="49"/>
      <c r="S66" s="51"/>
      <c r="T66" s="47"/>
      <c r="U66" s="48"/>
      <c r="V66" s="49"/>
      <c r="W66" s="50"/>
      <c r="X66" s="82"/>
      <c r="Y66" s="48"/>
      <c r="Z66" s="49"/>
      <c r="AA66" s="50"/>
      <c r="AB66" s="47"/>
      <c r="AC66" s="48"/>
      <c r="AD66" s="49"/>
      <c r="AE66" s="50"/>
      <c r="AF66" s="82"/>
      <c r="AG66" s="48"/>
      <c r="AH66" s="49"/>
      <c r="AI66" s="50"/>
      <c r="AJ66" s="82"/>
      <c r="AK66" s="48"/>
      <c r="AL66" s="49"/>
      <c r="AM66" s="50"/>
      <c r="AN66" s="97"/>
      <c r="AO66" s="48"/>
      <c r="AP66" s="49"/>
      <c r="AQ66" s="50"/>
      <c r="AR66" s="47"/>
      <c r="AS66" s="48"/>
      <c r="AT66" s="49"/>
      <c r="AU66" s="50"/>
      <c r="AV66" s="51"/>
      <c r="AW66" s="48"/>
      <c r="AX66" s="49"/>
      <c r="AY66" s="50"/>
      <c r="AZ66" s="51"/>
      <c r="BA66" s="48"/>
      <c r="BB66" s="49"/>
      <c r="BC66" s="50"/>
      <c r="BD66" s="51"/>
      <c r="BE66" s="48"/>
      <c r="BF66" s="49"/>
      <c r="BG66" s="50"/>
      <c r="BH66" s="64"/>
      <c r="BI66" s="51">
        <f t="shared" si="3"/>
        <v>0</v>
      </c>
      <c r="BJ66" s="51">
        <f t="shared" si="4"/>
        <v>0</v>
      </c>
      <c r="BK66" s="51">
        <f t="shared" si="5"/>
        <v>0</v>
      </c>
      <c r="BL66" s="51">
        <f t="shared" si="6"/>
        <v>0</v>
      </c>
      <c r="BM66" s="51">
        <f t="shared" si="7"/>
        <v>0</v>
      </c>
      <c r="BN66" s="51">
        <f t="shared" si="8"/>
        <v>0</v>
      </c>
      <c r="BO66" s="51">
        <f t="shared" si="9"/>
        <v>0</v>
      </c>
      <c r="BP66" s="51">
        <f t="shared" si="10"/>
        <v>0</v>
      </c>
      <c r="BQ66" s="85">
        <f t="shared" si="11"/>
        <v>0</v>
      </c>
      <c r="BR66" s="64"/>
      <c r="BS66" s="64"/>
      <c r="BT66" s="64"/>
      <c r="BU66" s="64"/>
      <c r="BV66" s="64"/>
      <c r="BW66" s="64"/>
      <c r="BX66" s="64"/>
      <c r="BY66" s="64"/>
    </row>
    <row r="67" spans="1:77" ht="18" x14ac:dyDescent="0.25">
      <c r="A67" s="58" t="s">
        <v>13</v>
      </c>
      <c r="B67" s="59"/>
      <c r="C67" s="60"/>
      <c r="D67" s="105"/>
      <c r="E67" s="106"/>
      <c r="F67" s="62"/>
      <c r="G67" s="63"/>
      <c r="H67" s="61"/>
      <c r="I67" s="60"/>
      <c r="J67" s="62"/>
      <c r="K67" s="63"/>
      <c r="L67" s="61"/>
      <c r="M67" s="60"/>
      <c r="N67" s="62"/>
      <c r="O67" s="63"/>
      <c r="P67" s="61"/>
      <c r="Q67" s="60"/>
      <c r="R67" s="62"/>
      <c r="S67" s="63"/>
      <c r="T67" s="61"/>
      <c r="U67" s="60"/>
      <c r="V67" s="62"/>
      <c r="W67" s="63"/>
      <c r="X67" s="61"/>
      <c r="Y67" s="60"/>
      <c r="Z67" s="62"/>
      <c r="AA67" s="63"/>
      <c r="AB67" s="61"/>
      <c r="AC67" s="60"/>
      <c r="AD67" s="62"/>
      <c r="AE67" s="63"/>
      <c r="AF67" s="61"/>
      <c r="AG67" s="60"/>
      <c r="AH67" s="62"/>
      <c r="AI67" s="63"/>
      <c r="AJ67" s="61"/>
      <c r="AK67" s="60"/>
      <c r="AL67" s="62"/>
      <c r="AM67" s="63"/>
      <c r="AN67" s="99"/>
      <c r="AO67" s="60"/>
      <c r="AP67" s="62"/>
      <c r="AQ67" s="63"/>
      <c r="AR67" s="61"/>
      <c r="AS67" s="60"/>
      <c r="AT67" s="62"/>
      <c r="AU67" s="63"/>
      <c r="AV67" s="61"/>
      <c r="AW67" s="60"/>
      <c r="AX67" s="62"/>
      <c r="AY67" s="89"/>
      <c r="AZ67" s="61"/>
      <c r="BA67" s="60"/>
      <c r="BB67" s="62"/>
      <c r="BC67" s="89"/>
      <c r="BD67" s="61"/>
      <c r="BE67" s="60"/>
      <c r="BF67" s="62"/>
      <c r="BG67" s="63"/>
      <c r="BH67" s="61"/>
      <c r="BI67" s="51">
        <f t="shared" si="3"/>
        <v>0</v>
      </c>
      <c r="BJ67" s="51">
        <f t="shared" si="4"/>
        <v>0</v>
      </c>
      <c r="BK67" s="51">
        <f t="shared" si="5"/>
        <v>0</v>
      </c>
      <c r="BL67" s="51">
        <f t="shared" si="6"/>
        <v>0</v>
      </c>
      <c r="BM67" s="51">
        <f t="shared" si="7"/>
        <v>0</v>
      </c>
      <c r="BN67" s="51">
        <f t="shared" si="8"/>
        <v>0</v>
      </c>
      <c r="BO67" s="51">
        <f t="shared" si="9"/>
        <v>0</v>
      </c>
      <c r="BP67" s="51">
        <f t="shared" si="10"/>
        <v>0</v>
      </c>
      <c r="BQ67" s="85">
        <f t="shared" si="11"/>
        <v>0</v>
      </c>
      <c r="BR67" s="34"/>
      <c r="BS67" s="34"/>
      <c r="BT67" s="34"/>
      <c r="BU67" s="34"/>
      <c r="BV67" s="34"/>
      <c r="BW67" s="34"/>
      <c r="BX67" s="34"/>
      <c r="BY67" s="34"/>
    </row>
    <row r="68" spans="1:77" ht="27.75" customHeight="1" x14ac:dyDescent="0.25">
      <c r="A68" s="33"/>
      <c r="B68" s="34"/>
      <c r="C68" s="34"/>
      <c r="D68" s="78">
        <f>SUM(D7:D66)</f>
        <v>13440.210000000001</v>
      </c>
      <c r="E68" s="46"/>
      <c r="F68" s="46"/>
      <c r="G68" s="46"/>
      <c r="H68" s="78">
        <f>SUM(H7:H66)</f>
        <v>5646.05</v>
      </c>
      <c r="I68" s="46"/>
      <c r="J68" s="46"/>
      <c r="K68" s="46"/>
      <c r="L68" s="78">
        <f>SUM(L7:L66)</f>
        <v>9969</v>
      </c>
      <c r="M68" s="46"/>
      <c r="N68" s="46"/>
      <c r="O68" s="46"/>
      <c r="P68" s="78">
        <f>SUM(P7:P67)</f>
        <v>6594.4</v>
      </c>
      <c r="Q68" s="46"/>
      <c r="R68" s="46"/>
      <c r="S68" s="46"/>
      <c r="T68" s="78">
        <f>SUM(T7:T67)</f>
        <v>8902.9199999999983</v>
      </c>
      <c r="U68" s="46"/>
      <c r="V68" s="46"/>
      <c r="W68" s="46"/>
      <c r="X68" s="78">
        <f>SUM(X7:X67)</f>
        <v>10225.120000000001</v>
      </c>
      <c r="Y68" s="46"/>
      <c r="Z68" s="46"/>
      <c r="AA68" s="46"/>
      <c r="AB68" s="78">
        <f>SUM(AB7:AB66)</f>
        <v>20165.849999999999</v>
      </c>
      <c r="AC68" s="46"/>
      <c r="AD68" s="46"/>
      <c r="AE68" s="46"/>
      <c r="AF68" s="78">
        <f>SUM(AF7:AF66)</f>
        <v>12220.219999999998</v>
      </c>
      <c r="AG68" s="46"/>
      <c r="AH68" s="46"/>
      <c r="AI68" s="46"/>
      <c r="AJ68" s="78">
        <f>SUM(AJ7:AJ66)</f>
        <v>4715.3599999999997</v>
      </c>
      <c r="AK68" s="46"/>
      <c r="AL68" s="46"/>
      <c r="AM68" s="46"/>
      <c r="AN68" s="78">
        <f>SUM(AN7:AN66)</f>
        <v>5046.1000000000004</v>
      </c>
      <c r="AO68" s="46"/>
      <c r="AP68" s="46"/>
      <c r="AQ68" s="46"/>
      <c r="AR68" s="78">
        <f>SUM(AR7:AR66)</f>
        <v>4191.1499999999996</v>
      </c>
      <c r="AS68" s="78"/>
      <c r="AT68" s="78"/>
      <c r="AU68" s="78"/>
      <c r="AV68" s="78">
        <f>SUM(AV7:AV66)</f>
        <v>5046.1000000000004</v>
      </c>
      <c r="AW68" s="78"/>
      <c r="AX68" s="78"/>
      <c r="AY68" s="78"/>
      <c r="AZ68" s="78">
        <f>SUM(AZ7:AZ66)</f>
        <v>6609.1200000000008</v>
      </c>
      <c r="BA68" s="78"/>
      <c r="BB68" s="78"/>
      <c r="BC68" s="78"/>
      <c r="BD68" s="78">
        <f>SUM(BD7:BD66)</f>
        <v>8461.35</v>
      </c>
      <c r="BE68" s="44"/>
      <c r="BF68" s="45"/>
      <c r="BG68" s="34"/>
      <c r="BH68" s="34"/>
      <c r="BI68" s="79">
        <f t="shared" ref="BI68:BP68" si="12">SUM(BI7:BI67)</f>
        <v>121232.95</v>
      </c>
      <c r="BJ68" s="46">
        <f t="shared" si="12"/>
        <v>12278.860000000002</v>
      </c>
      <c r="BK68" s="46">
        <f t="shared" si="12"/>
        <v>0</v>
      </c>
      <c r="BL68" s="46">
        <f t="shared" si="12"/>
        <v>0</v>
      </c>
      <c r="BM68" s="46">
        <f t="shared" si="12"/>
        <v>7486.619999999999</v>
      </c>
      <c r="BN68" s="46">
        <f t="shared" si="12"/>
        <v>4792.24</v>
      </c>
      <c r="BO68" s="46">
        <f t="shared" si="12"/>
        <v>12278.860000000002</v>
      </c>
      <c r="BP68" s="46">
        <f t="shared" si="12"/>
        <v>0</v>
      </c>
      <c r="BQ68" s="73">
        <f>IF(BI68&lt;&gt;0,+BJ68/BI68,0)</f>
        <v>0.10128319074970957</v>
      </c>
      <c r="BR68" s="34"/>
      <c r="BS68" s="34"/>
      <c r="BT68" s="34"/>
      <c r="BU68" s="34"/>
      <c r="BV68" s="34"/>
      <c r="BW68" s="34"/>
      <c r="BX68" s="34"/>
      <c r="BY68" s="34"/>
    </row>
    <row r="69" spans="1:77" s="75" customFormat="1" ht="18" x14ac:dyDescent="0.25">
      <c r="A69" s="74"/>
      <c r="B69" s="64"/>
      <c r="C69" s="64"/>
      <c r="D69" s="51">
        <f>29475.19-4050.65-9856.5-1529.7-34.35-6-286.49-271.29</f>
        <v>13440.209999999995</v>
      </c>
      <c r="E69" s="51"/>
      <c r="F69" s="66"/>
      <c r="G69" s="64"/>
      <c r="H69" s="51">
        <f>11149.59-359.13-30.5-226.46-9-4642-5.76-227.19-3.5</f>
        <v>5646.050000000002</v>
      </c>
      <c r="I69" s="65"/>
      <c r="J69" s="66"/>
      <c r="K69" s="64"/>
      <c r="L69" s="51">
        <f>38958.19-178.28-66.68-18.24-17985.27-23.25-378.66-137.89-9-496.27-1.75-27.25-9437.4</f>
        <v>10198.250000000005</v>
      </c>
      <c r="M69" s="65"/>
      <c r="N69" s="66"/>
      <c r="O69" s="64"/>
      <c r="P69" s="51">
        <f>43136.91-3370.36-19.95-131.88-16027.24-752.89-976.01-24.24-118.19-789.43-15619.52+1328.44-19.99-21.25</f>
        <v>6594.4000000000124</v>
      </c>
      <c r="Q69" s="65"/>
      <c r="R69" s="66"/>
      <c r="S69" s="64"/>
      <c r="T69" s="51">
        <f>78379.52-11.45-39.24-43.7-487.46-2185-144.14-18.26-686.61+900-66419.06-31.98-309.7</f>
        <v>8902.9200000000055</v>
      </c>
      <c r="U69" s="65"/>
      <c r="V69" s="66"/>
      <c r="W69" s="64"/>
      <c r="X69" s="51">
        <f>19543.92-7266-283.57+111.56-128.89-582.43-24.99-1144.48</f>
        <v>10225.119999999999</v>
      </c>
      <c r="Z69" s="66"/>
      <c r="AA69" s="64"/>
      <c r="AB69" s="51">
        <f>36119.16-1145.73-10-9881.42-1848.46-728.14-13.75-53.49-2245.36-26.96</f>
        <v>20165.850000000002</v>
      </c>
      <c r="AC69" s="65"/>
      <c r="AD69" s="66"/>
      <c r="AE69" s="64"/>
      <c r="AF69" s="51">
        <f>29369.21-2209.25-124.77-2230.33-381.16-11481.42-6-680.11-35.95</f>
        <v>12220.22</v>
      </c>
      <c r="AG69" s="65"/>
      <c r="AH69" s="66"/>
      <c r="AI69" s="64"/>
      <c r="AJ69" s="51">
        <f>22920.4-3100-14.95-457.87-21.76-613.6-13066.85-9-835.57-85.44</f>
        <v>4715.3600000000051</v>
      </c>
      <c r="AK69" s="65"/>
      <c r="AL69" s="66"/>
      <c r="AM69" s="64"/>
      <c r="AN69" s="76">
        <f>105475.93-276.92-3830.87-21.75-24.94-464.98-546.44-92936.84-2327.09</f>
        <v>5046.1000000000022</v>
      </c>
      <c r="AO69" s="65"/>
      <c r="AP69" s="66"/>
      <c r="AQ69" s="64"/>
      <c r="AR69" s="76">
        <f>15418.19+628.72-27.49-651.74-211.38-3184.69-7290.6-19.49-419.76-50.61</f>
        <v>4191.1500000000005</v>
      </c>
      <c r="AS69" s="65"/>
      <c r="AT69" s="66"/>
      <c r="AU69" s="64"/>
      <c r="AV69" s="51">
        <f>105475.93-2327.09-92936.84-546.44-464.98-24.94-21.75-3830.87-276.92</f>
        <v>5046.0999999999995</v>
      </c>
      <c r="AW69" s="65"/>
      <c r="AX69" s="66"/>
      <c r="AY69" s="64"/>
      <c r="AZ69" s="51">
        <f>82731.19-4.99-58.42-408.2-143.14-408.23-6671.32-9132.4-292.1-58959.82-30.2-13.25</f>
        <v>6609.1200000000144</v>
      </c>
      <c r="BA69" s="65"/>
      <c r="BB69" s="66"/>
      <c r="BC69" s="64"/>
      <c r="BD69" s="77">
        <f>46267.71-1145.47-19-3122.87-134.14-32382.3-31.75-9-921.84-39.99</f>
        <v>8461.3499999999967</v>
      </c>
      <c r="BE69" s="65"/>
      <c r="BF69" s="66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</row>
    <row r="70" spans="1:77" ht="18" x14ac:dyDescent="0.25">
      <c r="A70" s="33"/>
      <c r="B70" s="34"/>
      <c r="C70" s="34"/>
      <c r="D70" s="90">
        <f>+D68-D69</f>
        <v>0</v>
      </c>
      <c r="E70" s="94" t="s">
        <v>88</v>
      </c>
      <c r="F70" s="46"/>
      <c r="G70" s="46"/>
      <c r="H70" s="90">
        <f t="shared" ref="H70" si="13">+H68-H69</f>
        <v>0</v>
      </c>
      <c r="I70" s="94" t="s">
        <v>88</v>
      </c>
      <c r="J70" s="46"/>
      <c r="K70" s="46"/>
      <c r="L70" s="90">
        <f>+L68-L69</f>
        <v>-229.25000000000546</v>
      </c>
      <c r="M70" s="94"/>
      <c r="N70" s="46"/>
      <c r="O70" s="46"/>
      <c r="P70" s="90">
        <f>+P68-P69</f>
        <v>-1.2732925824820995E-11</v>
      </c>
      <c r="Q70" s="94" t="s">
        <v>88</v>
      </c>
      <c r="R70" s="45"/>
      <c r="S70" s="34"/>
      <c r="T70" s="90">
        <f>+T68-T69</f>
        <v>0</v>
      </c>
      <c r="U70" s="94" t="s">
        <v>88</v>
      </c>
      <c r="V70" s="45"/>
      <c r="W70" s="34"/>
      <c r="X70" s="90">
        <f>+X68-X69</f>
        <v>0</v>
      </c>
      <c r="Y70" s="94" t="s">
        <v>88</v>
      </c>
      <c r="Z70" s="45"/>
      <c r="AA70" s="34"/>
      <c r="AB70" s="90">
        <f>+AB68-AB69</f>
        <v>0</v>
      </c>
      <c r="AC70" s="95" t="s">
        <v>88</v>
      </c>
      <c r="AD70" s="46"/>
      <c r="AE70" s="34"/>
      <c r="AF70" s="90">
        <f>+AF68-AF69</f>
        <v>0</v>
      </c>
      <c r="AG70" s="95" t="s">
        <v>88</v>
      </c>
      <c r="AH70" s="45"/>
      <c r="AI70" s="34"/>
      <c r="AJ70" s="90">
        <f>+AJ68-AJ69</f>
        <v>0</v>
      </c>
      <c r="AK70" s="95" t="s">
        <v>88</v>
      </c>
      <c r="AL70" s="46"/>
      <c r="AM70" s="46"/>
      <c r="AN70" s="90">
        <f>+AN68-AN69</f>
        <v>0</v>
      </c>
      <c r="AO70" s="95" t="s">
        <v>88</v>
      </c>
      <c r="AP70" s="45"/>
      <c r="AQ70" s="34"/>
      <c r="AR70" s="90">
        <f>+AR68-AR69</f>
        <v>0</v>
      </c>
      <c r="AS70" s="95" t="s">
        <v>88</v>
      </c>
      <c r="AT70" s="45"/>
      <c r="AU70" s="34"/>
      <c r="AV70" s="90">
        <f>+AV68-AV69</f>
        <v>0</v>
      </c>
      <c r="AW70" s="95"/>
      <c r="AX70" s="46"/>
      <c r="AY70" s="46"/>
      <c r="AZ70" s="90">
        <f>+AZ68-AZ69</f>
        <v>-1.3642420526593924E-11</v>
      </c>
      <c r="BA70" s="95"/>
      <c r="BB70" s="46"/>
      <c r="BC70" s="46"/>
      <c r="BD70" s="90">
        <f>+BD68-BD69</f>
        <v>0</v>
      </c>
      <c r="BE70" s="95"/>
      <c r="BF70" s="45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</row>
    <row r="71" spans="1:77" ht="18" x14ac:dyDescent="0.25">
      <c r="A71" s="33"/>
      <c r="B71" s="34"/>
      <c r="C71" s="34"/>
      <c r="D71" s="64"/>
      <c r="E71" s="107"/>
      <c r="F71" s="66"/>
      <c r="G71" s="64"/>
      <c r="H71" s="64"/>
      <c r="I71" s="65"/>
      <c r="J71" s="66"/>
      <c r="K71" s="64"/>
      <c r="L71" s="64"/>
      <c r="M71" s="65"/>
      <c r="N71" s="66"/>
      <c r="O71" s="64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64"/>
      <c r="AG71" s="65"/>
      <c r="AH71" s="66"/>
      <c r="AI71" s="64"/>
      <c r="AJ71" s="64"/>
      <c r="AK71" s="65"/>
      <c r="AL71" s="66"/>
      <c r="AM71" s="64"/>
      <c r="AN71" s="64"/>
      <c r="AO71" s="65"/>
      <c r="AP71" s="66"/>
      <c r="AQ71" s="64"/>
      <c r="AR71" s="67"/>
      <c r="AS71" s="65"/>
      <c r="AT71" s="66"/>
      <c r="AU71" s="64"/>
      <c r="AV71" s="64"/>
      <c r="AW71" s="65"/>
      <c r="AX71" s="66"/>
      <c r="AY71" s="64"/>
      <c r="AZ71" s="64"/>
      <c r="BA71" s="65"/>
      <c r="BB71" s="66"/>
      <c r="BC71" s="64"/>
      <c r="BD71" s="64"/>
      <c r="BE71" s="65"/>
      <c r="BF71" s="66"/>
      <c r="BG71" s="6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1:77" ht="18" x14ac:dyDescent="0.25">
      <c r="A72" s="33" t="s">
        <v>14</v>
      </c>
      <c r="B72" s="68"/>
      <c r="C72" s="34"/>
      <c r="D72" s="91"/>
      <c r="E72" s="92"/>
      <c r="F72" s="93"/>
      <c r="G72" s="92"/>
      <c r="H72" s="91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66"/>
      <c r="Y72" s="92"/>
      <c r="Z72" s="92"/>
      <c r="AA72" s="92"/>
      <c r="AB72" s="104">
        <f>AB26+AB36</f>
        <v>0</v>
      </c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66"/>
      <c r="AV72" s="66"/>
      <c r="AW72" s="66"/>
      <c r="AX72" s="66"/>
      <c r="AY72" s="66"/>
      <c r="AZ72" s="66"/>
      <c r="BA72" s="66"/>
      <c r="BB72" s="66"/>
      <c r="BC72" s="66"/>
      <c r="BD72" s="64"/>
      <c r="BE72" s="65"/>
      <c r="BF72" s="66"/>
      <c r="BG72" s="6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1:77" ht="18" x14ac:dyDescent="0.25">
      <c r="A73" s="33" t="s">
        <v>15</v>
      </c>
      <c r="B73" s="68"/>
      <c r="C73" s="34"/>
      <c r="D73" s="34"/>
      <c r="E73" s="72"/>
      <c r="F73" s="93"/>
      <c r="G73" s="34"/>
      <c r="H73" s="34"/>
      <c r="I73" s="44"/>
      <c r="J73" s="45"/>
      <c r="K73" s="34"/>
      <c r="L73" s="34"/>
      <c r="M73" s="44"/>
      <c r="N73" s="45"/>
      <c r="O73" s="34"/>
      <c r="P73" s="34"/>
      <c r="Q73" s="44"/>
      <c r="R73" s="45"/>
      <c r="S73" s="34"/>
      <c r="T73" s="34"/>
      <c r="U73" s="44"/>
      <c r="V73" s="45"/>
      <c r="W73" s="34"/>
      <c r="X73" s="34"/>
      <c r="Y73" s="44"/>
      <c r="Z73" s="45"/>
      <c r="AA73" s="34"/>
      <c r="AB73" s="34"/>
      <c r="AC73" s="44"/>
      <c r="AD73" s="45"/>
      <c r="AE73" s="34"/>
      <c r="AF73" s="46"/>
      <c r="AG73" s="44"/>
      <c r="AH73" s="45"/>
      <c r="AI73" s="34"/>
      <c r="AJ73" s="34"/>
      <c r="AK73" s="44"/>
      <c r="AL73" s="45"/>
      <c r="AM73" s="34"/>
      <c r="AN73" s="34"/>
      <c r="AO73" s="44"/>
      <c r="AP73" s="45"/>
      <c r="AQ73" s="34"/>
      <c r="AR73" s="69"/>
      <c r="AS73" s="44"/>
      <c r="AT73" s="45"/>
      <c r="AU73" s="34"/>
      <c r="AV73" s="34"/>
      <c r="AW73" s="44"/>
      <c r="AX73" s="45"/>
      <c r="AY73" s="34"/>
      <c r="AZ73" s="34"/>
      <c r="BA73" s="44"/>
      <c r="BB73" s="45"/>
      <c r="BC73" s="34"/>
      <c r="BD73" s="34"/>
      <c r="BE73" s="44"/>
      <c r="BF73" s="45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7" ht="18" x14ac:dyDescent="0.25">
      <c r="A74" s="33" t="s">
        <v>16</v>
      </c>
      <c r="B74" s="68"/>
      <c r="C74" s="34"/>
      <c r="D74" s="34"/>
      <c r="E74" s="44"/>
      <c r="F74" s="93"/>
      <c r="G74" s="34"/>
      <c r="H74" s="34"/>
      <c r="I74" s="44"/>
      <c r="J74" s="45"/>
      <c r="K74" s="34"/>
      <c r="L74" s="34"/>
      <c r="M74" s="44"/>
      <c r="N74" s="45"/>
      <c r="O74" s="34"/>
      <c r="P74" s="34"/>
      <c r="Q74" s="44"/>
      <c r="R74" s="45"/>
      <c r="S74" s="34"/>
      <c r="T74" s="34"/>
      <c r="U74" s="44"/>
      <c r="V74" s="45"/>
      <c r="W74" s="34"/>
      <c r="X74" s="34"/>
      <c r="Y74" s="44"/>
      <c r="Z74" s="45"/>
      <c r="AA74" s="34"/>
      <c r="AB74" s="34"/>
      <c r="AC74" s="44"/>
      <c r="AD74" s="45"/>
      <c r="AE74" s="34"/>
      <c r="AF74" s="34"/>
      <c r="AG74" s="44"/>
      <c r="AH74" s="45"/>
      <c r="AI74" s="34"/>
      <c r="AJ74" s="34"/>
      <c r="AK74" s="44"/>
      <c r="AL74" s="45"/>
      <c r="AM74" s="34"/>
      <c r="AN74" s="34"/>
      <c r="AO74" s="44"/>
      <c r="AP74" s="45"/>
      <c r="AQ74" s="34"/>
      <c r="AR74" s="66"/>
      <c r="AS74" s="66"/>
      <c r="AT74" s="66"/>
      <c r="AU74" s="45"/>
      <c r="AV74" s="45"/>
      <c r="AW74" s="45"/>
      <c r="AX74" s="45"/>
      <c r="AY74" s="45"/>
      <c r="AZ74" s="45"/>
      <c r="BA74" s="45"/>
      <c r="BB74" s="45"/>
      <c r="BC74" s="45"/>
      <c r="BD74" s="34"/>
      <c r="BE74" s="44"/>
      <c r="BF74" s="45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7" ht="18" x14ac:dyDescent="0.25">
      <c r="A75" s="33" t="s">
        <v>17</v>
      </c>
      <c r="B75" s="68"/>
      <c r="C75" s="34"/>
      <c r="D75" s="34"/>
      <c r="E75" s="44"/>
      <c r="F75" s="93"/>
      <c r="G75" s="34"/>
      <c r="H75" s="34"/>
      <c r="I75" s="44"/>
      <c r="J75" s="45"/>
      <c r="K75" s="34"/>
      <c r="L75" s="34"/>
      <c r="M75" s="44"/>
      <c r="N75" s="45"/>
      <c r="O75" s="34"/>
      <c r="P75" s="34"/>
      <c r="Q75" s="44"/>
      <c r="R75" s="45"/>
      <c r="S75" s="34"/>
      <c r="T75" s="34"/>
      <c r="U75" s="44"/>
      <c r="V75" s="45"/>
      <c r="W75" s="34"/>
      <c r="X75" s="34"/>
      <c r="Y75" s="44"/>
      <c r="Z75" s="45"/>
      <c r="AA75" s="34"/>
      <c r="AB75" s="34"/>
      <c r="AC75" s="44"/>
      <c r="AD75" s="45"/>
      <c r="AE75" s="34"/>
      <c r="AF75" s="34"/>
      <c r="AG75" s="44"/>
      <c r="AH75" s="45"/>
      <c r="AI75" s="34"/>
      <c r="AJ75" s="34"/>
      <c r="AK75" s="44"/>
      <c r="AL75" s="45"/>
      <c r="AM75" s="34"/>
      <c r="AN75" s="34"/>
      <c r="AO75" s="44"/>
      <c r="AP75" s="45"/>
      <c r="AQ75" s="34"/>
      <c r="AR75" s="69"/>
      <c r="AS75" s="44"/>
      <c r="AT75" s="45"/>
      <c r="AU75" s="34"/>
      <c r="AV75" s="34"/>
      <c r="AW75" s="44"/>
      <c r="AX75" s="45"/>
      <c r="AY75" s="34"/>
      <c r="AZ75" s="34"/>
      <c r="BA75" s="44"/>
      <c r="BB75" s="45"/>
      <c r="BC75" s="34"/>
      <c r="BD75" s="34"/>
      <c r="BE75" s="44"/>
      <c r="BF75" s="45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7" ht="18" x14ac:dyDescent="0.25">
      <c r="A76" s="33"/>
      <c r="B76" s="34"/>
      <c r="C76" s="34"/>
      <c r="D76" s="34"/>
      <c r="E76" s="44"/>
      <c r="F76" s="93"/>
      <c r="G76" s="34"/>
      <c r="H76" s="34"/>
      <c r="I76" s="44"/>
      <c r="J76" s="45"/>
      <c r="K76" s="34"/>
      <c r="L76" s="34"/>
      <c r="M76" s="44"/>
      <c r="N76" s="45"/>
      <c r="O76" s="34"/>
      <c r="P76" s="34"/>
      <c r="Q76" s="44"/>
      <c r="R76" s="45"/>
      <c r="S76" s="34"/>
      <c r="T76" s="34"/>
      <c r="U76" s="44"/>
      <c r="V76" s="45"/>
      <c r="W76" s="34"/>
      <c r="Y76" s="44"/>
      <c r="Z76" s="45"/>
      <c r="AA76" s="34"/>
      <c r="AB76" s="34"/>
      <c r="AC76" s="44"/>
      <c r="AD76" s="45"/>
      <c r="AE76" s="34"/>
      <c r="AF76" s="34"/>
      <c r="AG76" s="44"/>
      <c r="AH76" s="45"/>
      <c r="AI76" s="34"/>
      <c r="AJ76" s="34"/>
      <c r="AK76" s="44"/>
      <c r="AL76" s="45"/>
      <c r="AM76" s="34"/>
      <c r="AN76" s="34"/>
      <c r="AO76" s="44"/>
      <c r="AP76" s="45"/>
      <c r="AQ76" s="34"/>
      <c r="AR76" s="69"/>
      <c r="AS76" s="44"/>
      <c r="AT76" s="66"/>
      <c r="AU76" s="66"/>
      <c r="AV76" s="66"/>
      <c r="AW76" s="66"/>
      <c r="AX76" s="45"/>
      <c r="AY76" s="34"/>
      <c r="AZ76" s="66"/>
      <c r="BA76" s="66"/>
      <c r="BB76" s="45"/>
      <c r="BC76" s="34"/>
      <c r="BD76" s="34"/>
      <c r="BE76" s="44"/>
      <c r="BF76" s="45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7" ht="18" x14ac:dyDescent="0.25">
      <c r="A77" s="33"/>
      <c r="B77" s="34"/>
      <c r="C77" s="34"/>
      <c r="D77" s="34"/>
      <c r="E77" s="44"/>
      <c r="F77" s="93"/>
      <c r="G77" s="34"/>
      <c r="H77" s="34"/>
      <c r="I77" s="44"/>
      <c r="J77" s="45"/>
      <c r="K77" s="34"/>
      <c r="L77" s="34"/>
      <c r="M77" s="44"/>
      <c r="N77" s="45"/>
      <c r="O77" s="34"/>
      <c r="P77" s="34"/>
      <c r="Q77" s="44"/>
      <c r="R77" s="45"/>
      <c r="S77" s="34"/>
      <c r="T77" s="34"/>
      <c r="U77" s="44"/>
      <c r="V77" s="45"/>
      <c r="W77" s="34"/>
      <c r="Y77" s="44"/>
      <c r="Z77" s="45"/>
      <c r="AA77" s="34"/>
      <c r="AB77" s="34"/>
      <c r="AC77" s="44"/>
      <c r="AD77" s="45"/>
      <c r="AE77" s="34"/>
      <c r="AF77" s="34"/>
      <c r="AG77" s="44"/>
      <c r="AH77" s="45"/>
      <c r="AI77" s="34"/>
      <c r="AJ77" s="34"/>
      <c r="AK77" s="44"/>
      <c r="AL77" s="45"/>
      <c r="AM77" s="34"/>
      <c r="AN77" s="34"/>
      <c r="AO77" s="44"/>
      <c r="AP77" s="45"/>
      <c r="AQ77" s="34"/>
      <c r="AR77" s="69"/>
      <c r="AS77" s="44"/>
      <c r="AT77" s="45"/>
      <c r="AU77" s="34"/>
      <c r="AW77" s="44"/>
      <c r="AX77" s="45"/>
      <c r="AY77" s="34"/>
      <c r="BA77" s="44"/>
      <c r="BB77" s="45"/>
      <c r="BC77" s="34"/>
      <c r="BD77" s="34"/>
      <c r="BE77" s="44"/>
      <c r="BF77" s="45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7" ht="18" x14ac:dyDescent="0.25">
      <c r="A78" s="33"/>
      <c r="B78" s="34"/>
      <c r="C78" s="34"/>
      <c r="D78" s="34"/>
      <c r="E78" s="44"/>
      <c r="F78" s="93"/>
      <c r="G78" s="34"/>
      <c r="H78" s="34"/>
      <c r="I78" s="44"/>
      <c r="J78" s="45"/>
      <c r="K78" s="34"/>
      <c r="L78" s="34"/>
      <c r="M78" s="44"/>
      <c r="N78" s="45"/>
      <c r="O78" s="34"/>
      <c r="P78" s="34"/>
      <c r="Q78" s="44"/>
      <c r="R78" s="45"/>
      <c r="S78" s="34"/>
      <c r="T78" s="34"/>
      <c r="U78" s="44"/>
      <c r="V78" s="45"/>
      <c r="W78" s="34"/>
      <c r="X78" s="46"/>
      <c r="Y78" s="44"/>
      <c r="Z78" s="45"/>
      <c r="AA78" s="34"/>
      <c r="AB78" s="34"/>
      <c r="AC78" s="44"/>
      <c r="AD78" s="45"/>
      <c r="AE78" s="34"/>
      <c r="AF78" s="34"/>
      <c r="AG78" s="44"/>
      <c r="AH78" s="45"/>
      <c r="AI78" s="34"/>
      <c r="AJ78" s="34"/>
      <c r="AK78" s="44"/>
      <c r="AL78" s="45"/>
      <c r="AM78" s="34"/>
      <c r="AN78" s="34"/>
      <c r="AO78" s="44"/>
      <c r="AP78" s="45"/>
      <c r="AQ78" s="34"/>
      <c r="AR78" s="69"/>
      <c r="AS78" s="44"/>
      <c r="AT78" s="66"/>
      <c r="AU78" s="45"/>
      <c r="AW78" s="45"/>
      <c r="AX78" s="45"/>
      <c r="AY78" s="34"/>
      <c r="BA78" s="45"/>
      <c r="BB78" s="45"/>
      <c r="BC78" s="34"/>
      <c r="BD78" s="34"/>
      <c r="BE78" s="44"/>
      <c r="BF78" s="45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7" ht="18" x14ac:dyDescent="0.25">
      <c r="A79" s="33"/>
      <c r="B79" s="34"/>
      <c r="C79" s="34"/>
      <c r="D79" s="34"/>
      <c r="E79" s="44"/>
      <c r="F79" s="45"/>
      <c r="G79" s="34"/>
      <c r="H79" s="34"/>
      <c r="I79" s="44"/>
      <c r="J79" s="45"/>
      <c r="K79" s="34"/>
      <c r="L79" s="34"/>
      <c r="M79" s="44"/>
      <c r="N79" s="45"/>
      <c r="O79" s="34"/>
      <c r="P79" s="34"/>
      <c r="Q79" s="44"/>
      <c r="R79" s="45"/>
      <c r="S79" s="34"/>
      <c r="T79" s="34"/>
      <c r="U79" s="44"/>
      <c r="V79" s="45"/>
      <c r="W79" s="34"/>
      <c r="X79" s="34"/>
      <c r="Y79" s="44"/>
      <c r="Z79" s="45"/>
      <c r="AA79" s="34"/>
      <c r="AB79" s="34"/>
      <c r="AC79" s="44"/>
      <c r="AD79" s="45"/>
      <c r="AE79" s="34"/>
      <c r="AF79" s="34"/>
      <c r="AG79" s="44"/>
      <c r="AH79" s="45"/>
      <c r="AI79" s="34"/>
      <c r="AJ79" s="34"/>
      <c r="AK79" s="44"/>
      <c r="AL79" s="45"/>
      <c r="AM79" s="34"/>
      <c r="AN79" s="34"/>
      <c r="AO79" s="44"/>
      <c r="AP79" s="45"/>
      <c r="AQ79" s="34"/>
      <c r="AR79" s="69"/>
      <c r="AS79" s="44"/>
      <c r="AT79" s="45"/>
      <c r="AU79" s="34"/>
      <c r="AW79" s="44"/>
      <c r="AX79" s="45"/>
      <c r="AY79" s="34"/>
      <c r="BA79" s="44"/>
      <c r="BB79" s="45"/>
      <c r="BC79" s="34"/>
      <c r="BD79" s="34"/>
      <c r="BE79" s="44"/>
      <c r="BF79" s="45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7" ht="18" x14ac:dyDescent="0.25">
      <c r="A80" s="33"/>
      <c r="B80" s="34"/>
      <c r="C80" s="34"/>
      <c r="D80" s="34"/>
      <c r="E80" s="44"/>
      <c r="F80" s="45"/>
      <c r="G80" s="34"/>
      <c r="H80" s="34"/>
      <c r="I80" s="44"/>
      <c r="J80" s="45"/>
      <c r="K80" s="34"/>
      <c r="L80" s="34"/>
      <c r="M80" s="44"/>
      <c r="N80" s="45"/>
      <c r="O80" s="34"/>
      <c r="P80" s="34"/>
      <c r="Q80" s="44"/>
      <c r="R80" s="45"/>
      <c r="S80" s="34"/>
      <c r="T80" s="34"/>
      <c r="U80" s="44"/>
      <c r="V80" s="45"/>
      <c r="W80" s="34"/>
      <c r="X80" s="34"/>
      <c r="Y80" s="44"/>
      <c r="Z80" s="45"/>
      <c r="AA80" s="34"/>
      <c r="AB80" s="34"/>
      <c r="AC80" s="44"/>
      <c r="AD80" s="45"/>
      <c r="AE80" s="34"/>
      <c r="AF80" s="34"/>
      <c r="AG80" s="44"/>
      <c r="AH80" s="45"/>
      <c r="AI80" s="34"/>
      <c r="AJ80" s="34"/>
      <c r="AK80" s="44"/>
      <c r="AL80" s="45"/>
      <c r="AM80" s="34"/>
      <c r="AN80" s="34"/>
      <c r="AO80" s="44"/>
      <c r="AP80" s="45"/>
      <c r="AQ80" s="34"/>
      <c r="AR80" s="103"/>
      <c r="AS80" s="44"/>
      <c r="AT80" s="66"/>
      <c r="AU80" s="66"/>
      <c r="AW80" s="66"/>
      <c r="AX80" s="45"/>
      <c r="AY80" s="34"/>
      <c r="BA80" s="66"/>
      <c r="BB80" s="45"/>
      <c r="BC80" s="34"/>
      <c r="BD80" s="34"/>
      <c r="BE80" s="44"/>
      <c r="BF80" s="45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4:53" ht="18" x14ac:dyDescent="0.25">
      <c r="D81" s="34"/>
      <c r="E81" s="44"/>
      <c r="F81" s="45"/>
      <c r="G81" s="34"/>
      <c r="H81" s="34"/>
      <c r="I81" s="44"/>
      <c r="J81" s="45"/>
      <c r="K81" s="34"/>
      <c r="X81" s="34"/>
      <c r="AF81" s="34"/>
      <c r="AG81" s="44"/>
      <c r="AH81" s="45"/>
      <c r="AI81" s="34"/>
      <c r="AJ81" s="34"/>
      <c r="AK81" s="44"/>
      <c r="AL81" s="45"/>
      <c r="AM81" s="34"/>
      <c r="AN81" s="34"/>
      <c r="AO81" s="44"/>
      <c r="AP81" s="45"/>
      <c r="AR81" s="69"/>
      <c r="AS81" s="69"/>
      <c r="AT81" s="69"/>
      <c r="AU81" s="34"/>
      <c r="AW81" s="44"/>
      <c r="BA81" s="44"/>
    </row>
    <row r="82" spans="4:53" ht="18" x14ac:dyDescent="0.25">
      <c r="D82" s="34"/>
      <c r="E82" s="44"/>
      <c r="F82" s="45"/>
      <c r="G82" s="34"/>
      <c r="H82" s="34"/>
      <c r="I82" s="44"/>
      <c r="J82" s="45"/>
      <c r="K82" s="34"/>
      <c r="L82" s="34"/>
      <c r="X82" s="34"/>
      <c r="AF82" s="34"/>
      <c r="AG82" s="44"/>
      <c r="AH82" s="45"/>
      <c r="AJ82" s="34"/>
      <c r="AK82" s="44"/>
      <c r="AL82" s="45"/>
      <c r="AM82" s="34"/>
      <c r="AN82" s="34"/>
      <c r="AO82" s="44"/>
      <c r="AP82" s="45"/>
      <c r="AR82" s="69"/>
      <c r="AS82" s="44"/>
      <c r="AT82" s="66"/>
      <c r="AU82" s="45"/>
      <c r="AW82" s="45"/>
      <c r="BA82" s="45"/>
    </row>
    <row r="83" spans="4:53" ht="18" x14ac:dyDescent="0.25">
      <c r="D83" s="34"/>
      <c r="E83" s="44"/>
      <c r="F83" s="45"/>
      <c r="G83" s="34"/>
      <c r="H83" s="34"/>
      <c r="I83" s="44"/>
      <c r="J83" s="45"/>
      <c r="K83" s="34"/>
      <c r="X83" s="34"/>
      <c r="AF83" s="34"/>
      <c r="AG83" s="44"/>
      <c r="AH83" s="45"/>
      <c r="AI83" s="34"/>
      <c r="AJ83" s="34"/>
      <c r="AK83" s="44"/>
      <c r="AL83" s="45"/>
      <c r="AM83" s="34"/>
      <c r="AN83" s="34"/>
      <c r="AO83" s="44"/>
      <c r="AP83" s="45"/>
      <c r="AR83" s="69"/>
      <c r="AS83" s="44"/>
      <c r="AT83" s="45"/>
      <c r="AU83" s="34"/>
      <c r="AW83" s="44"/>
      <c r="BA83" s="44"/>
    </row>
    <row r="84" spans="4:53" ht="18" x14ac:dyDescent="0.25">
      <c r="D84" s="34"/>
      <c r="E84" s="44"/>
      <c r="F84" s="45"/>
      <c r="G84" s="34"/>
      <c r="H84" s="34"/>
      <c r="I84" s="44"/>
      <c r="J84" s="45"/>
      <c r="K84" s="34"/>
      <c r="X84" s="34"/>
      <c r="AF84" s="34"/>
      <c r="AR84" s="69"/>
      <c r="AS84" s="44"/>
      <c r="AT84" s="66"/>
      <c r="AU84" s="66"/>
      <c r="AW84" s="66"/>
      <c r="BA84" s="66"/>
    </row>
    <row r="85" spans="4:53" ht="18" x14ac:dyDescent="0.25">
      <c r="D85" s="34"/>
      <c r="E85" s="44"/>
      <c r="F85" s="45"/>
      <c r="G85" s="34"/>
      <c r="H85" s="34"/>
      <c r="I85" s="44"/>
      <c r="J85" s="45"/>
      <c r="K85" s="34"/>
      <c r="X85" s="34"/>
      <c r="AF85" s="34"/>
      <c r="AT85" s="45"/>
      <c r="AU85" s="34"/>
      <c r="AW85" s="44"/>
      <c r="BA85" s="44"/>
    </row>
    <row r="86" spans="4:53" ht="18" x14ac:dyDescent="0.25">
      <c r="D86" s="34"/>
      <c r="E86" s="44"/>
      <c r="F86" s="45"/>
      <c r="G86" s="34"/>
      <c r="H86" s="34"/>
      <c r="I86" s="44"/>
      <c r="J86" s="45"/>
      <c r="K86" s="34"/>
      <c r="X86" s="34"/>
      <c r="AF86" s="34"/>
      <c r="AT86" s="66"/>
      <c r="AU86" s="45"/>
      <c r="AW86" s="45"/>
      <c r="BA86" s="45"/>
    </row>
    <row r="87" spans="4:53" ht="18" x14ac:dyDescent="0.25">
      <c r="E87" s="44"/>
      <c r="F87" s="45"/>
      <c r="G87" s="34"/>
      <c r="H87" s="34"/>
      <c r="I87" s="44"/>
      <c r="J87" s="45"/>
      <c r="K87" s="34"/>
      <c r="X87" s="34"/>
      <c r="AF87" s="34"/>
      <c r="AT87" s="45"/>
      <c r="AU87" s="34"/>
      <c r="AW87" s="44"/>
      <c r="BA87" s="44"/>
    </row>
    <row r="88" spans="4:53" ht="18" x14ac:dyDescent="0.25">
      <c r="E88" s="44"/>
      <c r="F88" s="45"/>
      <c r="G88" s="34"/>
      <c r="H88" s="34"/>
      <c r="I88" s="44"/>
      <c r="J88" s="45"/>
      <c r="K88" s="34"/>
      <c r="X88" s="34"/>
      <c r="AF88" s="34"/>
      <c r="AU88" s="34"/>
    </row>
    <row r="89" spans="4:53" ht="18" x14ac:dyDescent="0.25">
      <c r="E89" s="44"/>
      <c r="F89" s="45"/>
      <c r="G89" s="34"/>
      <c r="H89" s="34"/>
      <c r="I89" s="44"/>
      <c r="J89" s="45"/>
      <c r="K89" s="34"/>
      <c r="AF89" s="34"/>
      <c r="AU89" s="34"/>
    </row>
    <row r="90" spans="4:53" ht="18" x14ac:dyDescent="0.25">
      <c r="E90" s="44"/>
      <c r="F90" s="45"/>
      <c r="G90" s="34"/>
      <c r="H90" s="34"/>
      <c r="I90" s="44"/>
      <c r="J90" s="45"/>
      <c r="K90" s="34"/>
      <c r="AF90" s="34"/>
      <c r="AU90" s="34"/>
    </row>
    <row r="91" spans="4:53" ht="18" x14ac:dyDescent="0.25">
      <c r="E91" s="44"/>
      <c r="F91" s="45"/>
      <c r="G91" s="34"/>
      <c r="H91" s="34"/>
      <c r="I91" s="44"/>
      <c r="J91" s="45"/>
      <c r="K91" s="34"/>
      <c r="AU91" s="34"/>
    </row>
    <row r="92" spans="4:53" ht="18" x14ac:dyDescent="0.25">
      <c r="AU92" s="34"/>
    </row>
    <row r="93" spans="4:53" ht="18" x14ac:dyDescent="0.25">
      <c r="AU93" s="34"/>
    </row>
    <row r="94" spans="4:53" ht="18" x14ac:dyDescent="0.25">
      <c r="AU94" s="34"/>
    </row>
    <row r="95" spans="4:53" ht="18" x14ac:dyDescent="0.25">
      <c r="AU95" s="34"/>
    </row>
  </sheetData>
  <autoFilter ref="A4:BG67" xr:uid="{00000000-0009-0000-0000-000001000000}"/>
  <mergeCells count="14">
    <mergeCell ref="AB5:AE5"/>
    <mergeCell ref="AF5:AI5"/>
    <mergeCell ref="D5:G5"/>
    <mergeCell ref="H5:K5"/>
    <mergeCell ref="L5:O5"/>
    <mergeCell ref="P5:S5"/>
    <mergeCell ref="T5:W5"/>
    <mergeCell ref="X5:AA5"/>
    <mergeCell ref="AZ5:BC5"/>
    <mergeCell ref="BD5:BG5"/>
    <mergeCell ref="AJ5:AM5"/>
    <mergeCell ref="AN5:AQ5"/>
    <mergeCell ref="AR5:AU5"/>
    <mergeCell ref="AV5:AY5"/>
  </mergeCells>
  <phoneticPr fontId="3" type="noConversion"/>
  <pageMargins left="0.28740157500000002" right="0.28740157500000002" top="0.984251969" bottom="0.984251969" header="0.4921259845" footer="0.4921259845"/>
  <pageSetup paperSize="9" scale="56" fitToWidth="0" orientation="portrait" horizontalDpi="4294967292" r:id="rId1"/>
  <headerFooter alignWithMargins="0"/>
  <colBreaks count="1" manualBreakCount="1">
    <brk id="60" min="6" max="74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Sommaire</vt:lpstr>
      <vt:lpstr>Feuil1!Print_Area</vt:lpstr>
      <vt:lpstr>Sommaire!Print_Area</vt:lpstr>
      <vt:lpstr>Sommaire!Print_Titles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Auditeur De Nuit</dc:creator>
  <cp:lastModifiedBy>Auditeur De Nuit</cp:lastModifiedBy>
  <cp:lastPrinted>2025-12-14T10:31:19Z</cp:lastPrinted>
  <dcterms:created xsi:type="dcterms:W3CDTF">2000-09-26T19:59:19Z</dcterms:created>
  <dcterms:modified xsi:type="dcterms:W3CDTF">2026-02-08T12:22:16Z</dcterms:modified>
</cp:coreProperties>
</file>