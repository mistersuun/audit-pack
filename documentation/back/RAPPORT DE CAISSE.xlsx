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AUDITEURS\"/>
    </mc:Choice>
  </mc:AlternateContent>
  <xr:revisionPtr revIDLastSave="0" documentId="13_ncr:1_{DDB2056A-ED9E-44F8-9EDF-E8550CE679E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aisse 1000$" sheetId="1" r:id="rId1"/>
    <sheet name="Caisse 500$" sheetId="2" r:id="rId2"/>
    <sheet name="Feuil3" sheetId="3" r:id="rId3"/>
  </sheets>
  <externalReferences>
    <externalReference r:id="rId4"/>
  </externalReferences>
  <definedNames>
    <definedName name="AMPM">Feuil3!$A$2:$A$3</definedName>
    <definedName name="EMPLOYE">[1]Feuil2!$A$1:$A$25</definedName>
    <definedName name="EMPLOYER">Feuil3!$B$2:$B$20</definedName>
    <definedName name="HEURE">[1]Feuil2!$D$1:$D$6</definedName>
  </definedNames>
  <calcPr calcId="191029" calcMode="manual"/>
</workbook>
</file>

<file path=xl/calcChain.xml><?xml version="1.0" encoding="utf-8"?>
<calcChain xmlns="http://schemas.openxmlformats.org/spreadsheetml/2006/main">
  <c r="K9" i="2" l="1"/>
  <c r="G8" i="2" l="1"/>
  <c r="G9" i="2" l="1"/>
  <c r="G10" i="2"/>
  <c r="G28" i="2"/>
  <c r="C28" i="2"/>
  <c r="G27" i="2"/>
  <c r="C27" i="2"/>
  <c r="G26" i="2"/>
  <c r="C26" i="2"/>
  <c r="G25" i="2"/>
  <c r="C25" i="2"/>
  <c r="G24" i="2"/>
  <c r="C24" i="2"/>
  <c r="G23" i="2"/>
  <c r="C23" i="2"/>
  <c r="G22" i="2"/>
  <c r="C22" i="2"/>
  <c r="G21" i="2"/>
  <c r="C21" i="2"/>
  <c r="C19" i="2"/>
  <c r="C18" i="2"/>
  <c r="C17" i="2"/>
  <c r="C16" i="2"/>
  <c r="C15" i="2"/>
  <c r="C13" i="2"/>
  <c r="C12" i="2"/>
  <c r="C11" i="2"/>
  <c r="K21" i="2"/>
  <c r="C10" i="2"/>
  <c r="C9" i="2"/>
  <c r="C8" i="2"/>
  <c r="E29" i="1"/>
  <c r="G29" i="1" l="1"/>
  <c r="M10" i="2"/>
  <c r="M13" i="2" s="1"/>
  <c r="M15" i="2" s="1"/>
  <c r="M17" i="2" s="1"/>
  <c r="M19" i="2" s="1"/>
  <c r="L10" i="2"/>
  <c r="L13" i="2" s="1"/>
  <c r="L15" i="2" s="1"/>
  <c r="L17" i="2" s="1"/>
  <c r="L19" i="2" s="1"/>
  <c r="M10" i="1"/>
  <c r="M13" i="1" s="1"/>
  <c r="M15" i="1" s="1"/>
  <c r="M17" i="1" s="1"/>
  <c r="M19" i="1" s="1"/>
  <c r="L10" i="1"/>
  <c r="L13" i="1" s="1"/>
  <c r="L15" i="1" s="1"/>
  <c r="L17" i="1" s="1"/>
  <c r="L19" i="1" s="1"/>
  <c r="K10" i="1"/>
  <c r="K13" i="1" s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19" i="1"/>
  <c r="C19" i="1"/>
  <c r="G18" i="1"/>
  <c r="C18" i="1"/>
  <c r="G17" i="1"/>
  <c r="C17" i="1"/>
  <c r="G16" i="1"/>
  <c r="C16" i="1"/>
  <c r="K14" i="1"/>
  <c r="G15" i="1"/>
  <c r="C15" i="1"/>
  <c r="G13" i="1"/>
  <c r="C13" i="1"/>
  <c r="G12" i="1"/>
  <c r="C12" i="1"/>
  <c r="G11" i="1"/>
  <c r="C11" i="1"/>
  <c r="G10" i="1"/>
  <c r="C10" i="1"/>
  <c r="G9" i="1"/>
  <c r="C9" i="1"/>
  <c r="G8" i="1"/>
  <c r="C8" i="1"/>
  <c r="K15" i="1" l="1"/>
  <c r="K17" i="1" s="1"/>
  <c r="K21" i="1" s="1"/>
  <c r="C30" i="1"/>
  <c r="G30" i="1"/>
  <c r="L20" i="2"/>
  <c r="L21" i="2" s="1"/>
  <c r="M20" i="1"/>
  <c r="M21" i="1" s="1"/>
  <c r="M20" i="2"/>
  <c r="M21" i="2" s="1"/>
  <c r="L20" i="1"/>
  <c r="L21" i="1" s="1"/>
</calcChain>
</file>

<file path=xl/sharedStrings.xml><?xml version="1.0" encoding="utf-8"?>
<sst xmlns="http://schemas.openxmlformats.org/spreadsheetml/2006/main" count="145" uniqueCount="49">
  <si>
    <t>RAPPORT DE CAISSE:</t>
  </si>
  <si>
    <t>DATE:</t>
  </si>
  <si>
    <t>Gestion de caisse</t>
  </si>
  <si>
    <t>Rapport de caisse (cash in/out)</t>
  </si>
  <si>
    <t>Début du quart de travail</t>
  </si>
  <si>
    <t>Fin du quart de travail</t>
  </si>
  <si>
    <t>Caissier/ere</t>
  </si>
  <si>
    <t>Corrections</t>
  </si>
  <si>
    <t>Reel</t>
  </si>
  <si>
    <t>Qt</t>
  </si>
  <si>
    <t>Monnaie</t>
  </si>
  <si>
    <t>Total</t>
  </si>
  <si>
    <t>+</t>
  </si>
  <si>
    <t>Comptant Geac</t>
  </si>
  <si>
    <t>-</t>
  </si>
  <si>
    <t>Déboursés</t>
  </si>
  <si>
    <t>=</t>
  </si>
  <si>
    <t>Rem. D/Back</t>
  </si>
  <si>
    <t>Nouv. D/Back</t>
  </si>
  <si>
    <t>Papier</t>
  </si>
  <si>
    <t>Échange</t>
  </si>
  <si>
    <t>Chèque</t>
  </si>
  <si>
    <t>Dépot U.S</t>
  </si>
  <si>
    <t>Rouleaux</t>
  </si>
  <si>
    <t>Dépot Can.</t>
  </si>
  <si>
    <t>Dépot Total</t>
  </si>
  <si>
    <t>Surplus/Déficit</t>
  </si>
  <si>
    <t>Petite caisse</t>
  </si>
  <si>
    <t>Loterie</t>
  </si>
  <si>
    <t>Due Back</t>
  </si>
  <si>
    <t>S/D</t>
  </si>
  <si>
    <t>JOSÉE LATULIPPE</t>
  </si>
  <si>
    <t>DEBBY ARAUJO</t>
  </si>
  <si>
    <t>ISABELLE CARON</t>
  </si>
  <si>
    <t>BENOIT MALOUIN</t>
  </si>
  <si>
    <t>AM</t>
  </si>
  <si>
    <t>Comptant PosiTouch</t>
  </si>
  <si>
    <t>JESSICA LABONTE</t>
  </si>
  <si>
    <t>VITASHA DUBUC-FERRARO</t>
  </si>
  <si>
    <t>---------------------------------</t>
  </si>
  <si>
    <t>NUIT</t>
  </si>
  <si>
    <t>BOBBY ARGENTO</t>
  </si>
  <si>
    <t>KEVIN CHOUCRALLAH</t>
  </si>
  <si>
    <t>pm</t>
  </si>
  <si>
    <t xml:space="preserve"> </t>
  </si>
  <si>
    <t>MID</t>
  </si>
  <si>
    <t>Marly Innocent</t>
  </si>
  <si>
    <t>Leonardo Scarpa</t>
  </si>
  <si>
    <t xml:space="preserve"> Remboursement dueback Hadi 470.89$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</si>
</sst>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_ * #,##0.00_)\ &quot;$&quot;_ ;_ * \(#,##0.00\)\ &quot;$&quot;_ ;_ * &quot;-&quot;??_)\ &quot;$&quot;_ ;_ @_ 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u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right"/>
    </xf>
    <xf numFmtId="14" fontId="3" fillId="2" borderId="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7" fillId="0" borderId="11" xfId="0" applyFont="1" applyBorder="1"/>
    <xf numFmtId="0" fontId="2" fillId="3" borderId="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0" borderId="12" xfId="0" applyFont="1" applyBorder="1"/>
    <xf numFmtId="2" fontId="3" fillId="2" borderId="2" xfId="0" applyNumberFormat="1" applyFont="1" applyFill="1" applyBorder="1" applyProtection="1">
      <protection locked="0"/>
    </xf>
    <xf numFmtId="0" fontId="3" fillId="0" borderId="3" xfId="0" applyFont="1" applyBorder="1"/>
    <xf numFmtId="0" fontId="3" fillId="0" borderId="4" xfId="0" applyFont="1" applyBorder="1"/>
    <xf numFmtId="1" fontId="3" fillId="2" borderId="13" xfId="0" applyNumberFormat="1" applyFont="1" applyFill="1" applyBorder="1" applyAlignment="1" applyProtection="1">
      <alignment horizontal="center"/>
      <protection locked="0"/>
    </xf>
    <xf numFmtId="165" fontId="3" fillId="0" borderId="0" xfId="1" applyNumberFormat="1" applyFont="1" applyBorder="1" applyAlignment="1" applyProtection="1">
      <alignment horizontal="center"/>
    </xf>
    <xf numFmtId="7" fontId="3" fillId="0" borderId="14" xfId="0" applyNumberFormat="1" applyFont="1" applyBorder="1" applyAlignment="1">
      <alignment horizontal="center"/>
    </xf>
    <xf numFmtId="0" fontId="3" fillId="0" borderId="11" xfId="0" applyFont="1" applyBorder="1"/>
    <xf numFmtId="1" fontId="7" fillId="2" borderId="15" xfId="0" applyNumberFormat="1" applyFont="1" applyFill="1" applyBorder="1" applyAlignment="1" applyProtection="1">
      <alignment horizontal="center"/>
      <protection locked="0"/>
    </xf>
    <xf numFmtId="7" fontId="3" fillId="0" borderId="11" xfId="0" applyNumberFormat="1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2" fontId="3" fillId="2" borderId="17" xfId="0" applyNumberFormat="1" applyFont="1" applyFill="1" applyBorder="1" applyProtection="1">
      <protection locked="0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9" xfId="0" applyFont="1" applyBorder="1" applyAlignment="1">
      <alignment horizontal="center"/>
    </xf>
    <xf numFmtId="2" fontId="3" fillId="2" borderId="20" xfId="0" applyNumberFormat="1" applyFont="1" applyFill="1" applyBorder="1" applyProtection="1">
      <protection locked="0"/>
    </xf>
    <xf numFmtId="0" fontId="3" fillId="0" borderId="21" xfId="0" applyFont="1" applyBorder="1"/>
    <xf numFmtId="0" fontId="3" fillId="0" borderId="22" xfId="0" applyFont="1" applyBorder="1"/>
    <xf numFmtId="1" fontId="7" fillId="2" borderId="15" xfId="1" applyNumberFormat="1" applyFont="1" applyFill="1" applyBorder="1" applyAlignment="1" applyProtection="1">
      <alignment horizontal="center"/>
      <protection locked="0"/>
    </xf>
    <xf numFmtId="0" fontId="3" fillId="0" borderId="20" xfId="0" applyFont="1" applyBorder="1" applyAlignment="1">
      <alignment horizontal="left"/>
    </xf>
    <xf numFmtId="2" fontId="3" fillId="2" borderId="23" xfId="0" applyNumberFormat="1" applyFont="1" applyFill="1" applyBorder="1" applyProtection="1">
      <protection locked="0"/>
    </xf>
    <xf numFmtId="0" fontId="3" fillId="0" borderId="24" xfId="0" applyFont="1" applyBorder="1"/>
    <xf numFmtId="0" fontId="3" fillId="0" borderId="25" xfId="0" applyFont="1" applyBorder="1"/>
    <xf numFmtId="0" fontId="2" fillId="3" borderId="2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2" fontId="3" fillId="0" borderId="26" xfId="0" applyNumberFormat="1" applyFont="1" applyBorder="1"/>
    <xf numFmtId="0" fontId="3" fillId="0" borderId="26" xfId="0" applyFont="1" applyBorder="1"/>
    <xf numFmtId="0" fontId="3" fillId="0" borderId="27" xfId="0" applyFont="1" applyBorder="1"/>
    <xf numFmtId="1" fontId="3" fillId="3" borderId="28" xfId="0" applyNumberFormat="1" applyFont="1" applyFill="1" applyBorder="1" applyAlignment="1">
      <alignment horizontal="center"/>
    </xf>
    <xf numFmtId="165" fontId="6" fillId="3" borderId="16" xfId="1" applyNumberFormat="1" applyFont="1" applyFill="1" applyBorder="1" applyAlignment="1" applyProtection="1">
      <alignment horizontal="center"/>
    </xf>
    <xf numFmtId="7" fontId="7" fillId="3" borderId="29" xfId="0" applyNumberFormat="1" applyFont="1" applyFill="1" applyBorder="1" applyAlignment="1">
      <alignment horizontal="center"/>
    </xf>
    <xf numFmtId="1" fontId="3" fillId="3" borderId="17" xfId="0" applyNumberFormat="1" applyFont="1" applyFill="1" applyBorder="1" applyAlignment="1">
      <alignment horizontal="center"/>
    </xf>
    <xf numFmtId="7" fontId="7" fillId="3" borderId="19" xfId="0" applyNumberFormat="1" applyFont="1" applyFill="1" applyBorder="1" applyAlignment="1">
      <alignment horizontal="center"/>
    </xf>
    <xf numFmtId="2" fontId="3" fillId="0" borderId="23" xfId="0" applyNumberFormat="1" applyFont="1" applyBorder="1"/>
    <xf numFmtId="0" fontId="3" fillId="0" borderId="23" xfId="0" applyFont="1" applyBorder="1"/>
    <xf numFmtId="0" fontId="3" fillId="0" borderId="20" xfId="0" applyFont="1" applyBorder="1" applyAlignment="1">
      <alignment horizontal="center"/>
    </xf>
    <xf numFmtId="2" fontId="3" fillId="2" borderId="15" xfId="0" applyNumberFormat="1" applyFont="1" applyFill="1" applyBorder="1" applyProtection="1">
      <protection locked="0"/>
    </xf>
    <xf numFmtId="0" fontId="3" fillId="0" borderId="30" xfId="0" applyFont="1" applyBorder="1"/>
    <xf numFmtId="2" fontId="3" fillId="0" borderId="31" xfId="0" applyNumberFormat="1" applyFont="1" applyBorder="1"/>
    <xf numFmtId="0" fontId="3" fillId="0" borderId="31" xfId="0" applyFont="1" applyBorder="1"/>
    <xf numFmtId="0" fontId="3" fillId="0" borderId="32" xfId="0" applyFont="1" applyBorder="1"/>
    <xf numFmtId="39" fontId="6" fillId="3" borderId="16" xfId="0" applyNumberFormat="1" applyFont="1" applyFill="1" applyBorder="1" applyAlignment="1">
      <alignment horizontal="right"/>
    </xf>
    <xf numFmtId="1" fontId="7" fillId="3" borderId="17" xfId="0" applyNumberFormat="1" applyFont="1" applyFill="1" applyBorder="1" applyAlignment="1">
      <alignment horizontal="center"/>
    </xf>
    <xf numFmtId="2" fontId="3" fillId="2" borderId="5" xfId="0" applyNumberFormat="1" applyFont="1" applyFill="1" applyBorder="1" applyProtection="1">
      <protection locked="0"/>
    </xf>
    <xf numFmtId="165" fontId="3" fillId="0" borderId="0" xfId="0" applyNumberFormat="1" applyFont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left"/>
    </xf>
    <xf numFmtId="0" fontId="3" fillId="4" borderId="33" xfId="0" applyFont="1" applyFill="1" applyBorder="1" applyAlignment="1">
      <alignment horizontal="center"/>
    </xf>
    <xf numFmtId="2" fontId="3" fillId="4" borderId="31" xfId="0" applyNumberFormat="1" applyFont="1" applyFill="1" applyBorder="1"/>
    <xf numFmtId="0" fontId="2" fillId="0" borderId="34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4" xfId="0" applyFont="1" applyBorder="1"/>
    <xf numFmtId="0" fontId="3" fillId="0" borderId="0" xfId="0" applyFont="1" applyProtection="1">
      <protection locked="0"/>
    </xf>
    <xf numFmtId="0" fontId="3" fillId="0" borderId="9" xfId="0" applyFont="1" applyBorder="1" applyProtection="1">
      <protection locked="0"/>
    </xf>
    <xf numFmtId="2" fontId="3" fillId="2" borderId="13" xfId="0" applyNumberFormat="1" applyFont="1" applyFill="1" applyBorder="1" applyAlignment="1" applyProtection="1">
      <alignment horizontal="center"/>
      <protection locked="0"/>
    </xf>
    <xf numFmtId="165" fontId="7" fillId="0" borderId="0" xfId="0" applyNumberFormat="1" applyFont="1" applyAlignment="1">
      <alignment horizontal="center"/>
    </xf>
    <xf numFmtId="0" fontId="3" fillId="0" borderId="14" xfId="0" applyFont="1" applyBorder="1" applyAlignment="1">
      <alignment horizontal="center"/>
    </xf>
    <xf numFmtId="2" fontId="7" fillId="2" borderId="15" xfId="0" applyNumberFormat="1" applyFont="1" applyFill="1" applyBorder="1" applyAlignment="1" applyProtection="1">
      <alignment horizontal="center"/>
      <protection locked="0"/>
    </xf>
    <xf numFmtId="0" fontId="3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4" borderId="0" xfId="0" applyFont="1" applyFill="1" applyAlignment="1">
      <alignment horizontal="center"/>
    </xf>
    <xf numFmtId="7" fontId="7" fillId="4" borderId="14" xfId="0" applyNumberFormat="1" applyFont="1" applyFill="1" applyBorder="1" applyAlignment="1">
      <alignment horizontal="center"/>
    </xf>
    <xf numFmtId="7" fontId="7" fillId="4" borderId="11" xfId="0" applyNumberFormat="1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6" fillId="0" borderId="16" xfId="0" applyFont="1" applyBorder="1" applyAlignment="1">
      <alignment horizontal="right"/>
    </xf>
    <xf numFmtId="0" fontId="7" fillId="0" borderId="29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35" xfId="0" applyFont="1" applyBorder="1" applyAlignment="1">
      <alignment horizontal="right"/>
    </xf>
    <xf numFmtId="0" fontId="7" fillId="0" borderId="36" xfId="0" applyFont="1" applyBorder="1" applyAlignment="1">
      <alignment horizontal="center"/>
    </xf>
    <xf numFmtId="2" fontId="3" fillId="2" borderId="17" xfId="0" applyNumberFormat="1" applyFont="1" applyFill="1" applyBorder="1"/>
    <xf numFmtId="2" fontId="7" fillId="2" borderId="15" xfId="0" applyNumberFormat="1" applyFont="1" applyFill="1" applyBorder="1" applyAlignment="1">
      <alignment horizontal="center"/>
    </xf>
    <xf numFmtId="0" fontId="8" fillId="0" borderId="2" xfId="0" applyFont="1" applyBorder="1"/>
    <xf numFmtId="7" fontId="3" fillId="0" borderId="7" xfId="0" applyNumberFormat="1" applyFont="1" applyBorder="1" applyAlignment="1">
      <alignment horizontal="center"/>
    </xf>
    <xf numFmtId="2" fontId="7" fillId="0" borderId="11" xfId="0" applyNumberFormat="1" applyFont="1" applyBorder="1" applyAlignment="1">
      <alignment horizontal="center"/>
    </xf>
    <xf numFmtId="0" fontId="0" fillId="0" borderId="0" xfId="0" quotePrefix="1"/>
    <xf numFmtId="0" fontId="3" fillId="0" borderId="0" xfId="0" applyFont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lfs2\usershares\Documents\Rapport%20de%20caisse%20(reception)Formules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.00$"/>
      <sheetName val="500.00$"/>
      <sheetName val="Feuil2"/>
    </sheetNames>
    <sheetDataSet>
      <sheetData sheetId="0" refreshError="1"/>
      <sheetData sheetId="1" refreshError="1"/>
      <sheetData sheetId="2">
        <row r="1">
          <cell r="A1" t="str">
            <v>CECILE SEGUIN</v>
          </cell>
          <cell r="D1" t="str">
            <v>AM</v>
          </cell>
        </row>
        <row r="2">
          <cell r="A2" t="str">
            <v>DEBBY ARAUJO</v>
          </cell>
          <cell r="D2" t="str">
            <v>PM</v>
          </cell>
        </row>
        <row r="3">
          <cell r="A3" t="str">
            <v>JOSEE LATULIPPE</v>
          </cell>
          <cell r="D3" t="str">
            <v>NUIT PART 1</v>
          </cell>
        </row>
        <row r="4">
          <cell r="A4" t="str">
            <v>CARMEN BRUNI</v>
          </cell>
          <cell r="D4" t="str">
            <v>NUIT PART 2</v>
          </cell>
        </row>
        <row r="5">
          <cell r="A5" t="str">
            <v>ISABELLE CARON</v>
          </cell>
        </row>
        <row r="6">
          <cell r="A6" t="str">
            <v>DAVE DIMAMBRO</v>
          </cell>
        </row>
        <row r="7">
          <cell r="A7" t="str">
            <v>ARIANE DUBOIS</v>
          </cell>
        </row>
        <row r="8">
          <cell r="A8" t="str">
            <v>MELISSA CARBONE</v>
          </cell>
        </row>
        <row r="9">
          <cell r="A9" t="str">
            <v>MICHELE BERTRAND</v>
          </cell>
        </row>
        <row r="10">
          <cell r="A10" t="str">
            <v>VERONIQUE BLAIS</v>
          </cell>
        </row>
        <row r="11">
          <cell r="A11" t="str">
            <v>PASCAL BRIEN</v>
          </cell>
        </row>
        <row r="12">
          <cell r="A12" t="str">
            <v>ARNOLD MATSCHUCK</v>
          </cell>
        </row>
        <row r="13">
          <cell r="A13" t="str">
            <v>GENEVIEVE LEMAY</v>
          </cell>
        </row>
        <row r="14">
          <cell r="A14" t="str">
            <v>KORIANDR JOHNSON</v>
          </cell>
        </row>
        <row r="15">
          <cell r="A15" t="str">
            <v>PATSY LEVASSEUR</v>
          </cell>
        </row>
        <row r="16">
          <cell r="A16" t="str">
            <v>MARTINE BRETON</v>
          </cell>
        </row>
        <row r="17">
          <cell r="A17" t="str">
            <v>STEPHANE TESSIER</v>
          </cell>
        </row>
        <row r="18">
          <cell r="A18" t="str">
            <v>JULIE GAUTHIER</v>
          </cell>
        </row>
        <row r="19">
          <cell r="A19" t="str">
            <v>CATHERIE DANIS</v>
          </cell>
        </row>
        <row r="20">
          <cell r="A20" t="str">
            <v>VALERIE TETREAULT</v>
          </cell>
        </row>
        <row r="21">
          <cell r="A21" t="str">
            <v>PIERRE LUC TURBIS</v>
          </cell>
        </row>
        <row r="22">
          <cell r="A22" t="str">
            <v>NOUKI PAQUETTE</v>
          </cell>
        </row>
        <row r="23">
          <cell r="A23" t="str">
            <v>ALEXANDRE ROBERT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M34"/>
  <sheetViews>
    <sheetView workbookViewId="0">
      <selection activeCell="E1" sqref="E1:G1"/>
    </sheetView>
  </sheetViews>
  <sheetFormatPr baseColWidth="10" defaultColWidth="11.42578125" defaultRowHeight="17.100000000000001" customHeight="1" x14ac:dyDescent="0.2"/>
  <cols>
    <col min="1" max="1" width="9.28515625" style="8" customWidth="1"/>
    <col min="2" max="2" width="11.7109375" style="3" customWidth="1"/>
    <col min="3" max="3" width="12.28515625" style="8" customWidth="1"/>
    <col min="4" max="4" width="1.42578125" style="3" customWidth="1"/>
    <col min="5" max="5" width="10" style="3" customWidth="1"/>
    <col min="6" max="6" width="11.7109375" style="3" customWidth="1"/>
    <col min="7" max="7" width="12.140625" style="8" customWidth="1"/>
    <col min="8" max="8" width="2.42578125" style="3" customWidth="1"/>
    <col min="9" max="9" width="20.85546875" style="3" customWidth="1"/>
    <col min="10" max="10" width="2.7109375" style="3" customWidth="1"/>
    <col min="11" max="12" width="15.7109375" style="3" customWidth="1"/>
    <col min="13" max="13" width="16.140625" style="3" customWidth="1"/>
    <col min="14" max="16384" width="11.42578125" style="3"/>
  </cols>
  <sheetData>
    <row r="1" spans="1:13" ht="16.5" thickBot="1" x14ac:dyDescent="0.3">
      <c r="A1" s="1" t="s">
        <v>0</v>
      </c>
      <c r="B1" s="1"/>
      <c r="C1" s="2"/>
      <c r="E1" s="104" t="s">
        <v>47</v>
      </c>
      <c r="F1" s="104"/>
      <c r="G1" s="104"/>
      <c r="I1" s="4" t="s">
        <v>1</v>
      </c>
      <c r="K1" s="5">
        <v>45864</v>
      </c>
      <c r="L1" s="6"/>
      <c r="M1" s="103" t="s">
        <v>35</v>
      </c>
    </row>
    <row r="2" spans="1:13" ht="15.75" thickTop="1" x14ac:dyDescent="0.2"/>
    <row r="3" spans="1:13" ht="15" x14ac:dyDescent="0.2">
      <c r="A3" s="105" t="s">
        <v>2</v>
      </c>
      <c r="B3" s="105"/>
      <c r="C3" s="105"/>
      <c r="D3" s="105"/>
      <c r="E3" s="105"/>
      <c r="F3" s="105"/>
      <c r="G3" s="105"/>
      <c r="J3" s="105" t="s">
        <v>3</v>
      </c>
      <c r="K3" s="105"/>
      <c r="L3" s="105"/>
    </row>
    <row r="4" spans="1:13" ht="15.75" thickBot="1" x14ac:dyDescent="0.25"/>
    <row r="5" spans="1:13" ht="15" x14ac:dyDescent="0.2">
      <c r="A5" s="106" t="s">
        <v>4</v>
      </c>
      <c r="B5" s="106"/>
      <c r="C5" s="106"/>
      <c r="D5" s="9"/>
      <c r="E5" s="106" t="s">
        <v>5</v>
      </c>
      <c r="F5" s="106"/>
      <c r="G5" s="106"/>
      <c r="K5" s="10" t="s">
        <v>6</v>
      </c>
      <c r="L5" s="11" t="s">
        <v>7</v>
      </c>
      <c r="M5" s="12" t="s">
        <v>8</v>
      </c>
    </row>
    <row r="6" spans="1:13" ht="15.75" thickBot="1" x14ac:dyDescent="0.25">
      <c r="K6" s="13"/>
      <c r="L6" s="14"/>
      <c r="M6" s="15"/>
    </row>
    <row r="7" spans="1:13" ht="15.75" x14ac:dyDescent="0.25">
      <c r="A7" s="16" t="s">
        <v>9</v>
      </c>
      <c r="B7" s="17" t="s">
        <v>10</v>
      </c>
      <c r="C7" s="18" t="s">
        <v>11</v>
      </c>
      <c r="D7" s="19"/>
      <c r="E7" s="20" t="s">
        <v>9</v>
      </c>
      <c r="F7" s="21" t="s">
        <v>10</v>
      </c>
      <c r="G7" s="22" t="s">
        <v>11</v>
      </c>
      <c r="I7" s="99" t="s">
        <v>36</v>
      </c>
      <c r="J7" s="23" t="s">
        <v>12</v>
      </c>
      <c r="K7" s="24">
        <v>0</v>
      </c>
      <c r="L7" s="25"/>
      <c r="M7" s="26"/>
    </row>
    <row r="8" spans="1:13" ht="15" x14ac:dyDescent="0.2">
      <c r="A8" s="27"/>
      <c r="B8" s="28">
        <v>0.01</v>
      </c>
      <c r="C8" s="29">
        <f t="shared" ref="C8:C13" si="0">+A8*B8</f>
        <v>0</v>
      </c>
      <c r="D8" s="30"/>
      <c r="E8" s="31"/>
      <c r="F8" s="28">
        <v>0.01</v>
      </c>
      <c r="G8" s="32">
        <f t="shared" ref="G8:G13" si="1">+E8*F8</f>
        <v>0</v>
      </c>
      <c r="I8" s="33" t="s">
        <v>13</v>
      </c>
      <c r="J8" s="34" t="s">
        <v>12</v>
      </c>
      <c r="K8" s="35">
        <v>266.54000000000002</v>
      </c>
      <c r="L8" s="36"/>
      <c r="M8" s="37"/>
    </row>
    <row r="9" spans="1:13" ht="15.75" thickBot="1" x14ac:dyDescent="0.25">
      <c r="A9" s="31"/>
      <c r="B9" s="28">
        <v>0.05</v>
      </c>
      <c r="C9" s="29">
        <f t="shared" si="0"/>
        <v>0</v>
      </c>
      <c r="D9" s="30"/>
      <c r="E9" s="31">
        <v>36</v>
      </c>
      <c r="F9" s="28">
        <v>0.05</v>
      </c>
      <c r="G9" s="32">
        <f t="shared" si="1"/>
        <v>1.8</v>
      </c>
      <c r="I9" s="44" t="s">
        <v>15</v>
      </c>
      <c r="J9" s="39" t="s">
        <v>14</v>
      </c>
      <c r="K9" s="45"/>
      <c r="L9" s="46"/>
      <c r="M9" s="47"/>
    </row>
    <row r="10" spans="1:13" ht="16.5" thickBot="1" x14ac:dyDescent="0.3">
      <c r="A10" s="43"/>
      <c r="B10" s="28">
        <v>0.1</v>
      </c>
      <c r="C10" s="29">
        <f t="shared" si="0"/>
        <v>0</v>
      </c>
      <c r="D10" s="30"/>
      <c r="E10" s="43">
        <v>45</v>
      </c>
      <c r="F10" s="28">
        <v>0.1</v>
      </c>
      <c r="G10" s="32">
        <f t="shared" si="1"/>
        <v>4.5</v>
      </c>
      <c r="I10" s="48" t="s">
        <v>11</v>
      </c>
      <c r="J10" s="49" t="s">
        <v>16</v>
      </c>
      <c r="K10" s="50">
        <f>+K7+K8-K9</f>
        <v>266.54000000000002</v>
      </c>
      <c r="L10" s="51">
        <f>L8-L9</f>
        <v>0</v>
      </c>
      <c r="M10" s="52">
        <f>M8-M9</f>
        <v>0</v>
      </c>
    </row>
    <row r="11" spans="1:13" ht="15" x14ac:dyDescent="0.2">
      <c r="A11" s="31"/>
      <c r="B11" s="28">
        <v>0.25</v>
      </c>
      <c r="C11" s="29">
        <f t="shared" si="0"/>
        <v>0</v>
      </c>
      <c r="D11" s="30"/>
      <c r="E11" s="31">
        <v>16</v>
      </c>
      <c r="F11" s="28">
        <v>0.25</v>
      </c>
      <c r="G11" s="32">
        <f t="shared" si="1"/>
        <v>4</v>
      </c>
      <c r="I11" s="38" t="s">
        <v>17</v>
      </c>
      <c r="J11" s="39" t="s">
        <v>14</v>
      </c>
      <c r="K11" s="35"/>
      <c r="L11" s="36"/>
      <c r="M11" s="37"/>
    </row>
    <row r="12" spans="1:13" ht="15" x14ac:dyDescent="0.2">
      <c r="A12" s="31"/>
      <c r="B12" s="28">
        <v>1</v>
      </c>
      <c r="C12" s="29">
        <f t="shared" si="0"/>
        <v>0</v>
      </c>
      <c r="D12" s="30"/>
      <c r="E12" s="31">
        <v>10</v>
      </c>
      <c r="F12" s="28">
        <v>1</v>
      </c>
      <c r="G12" s="32">
        <f t="shared" si="1"/>
        <v>10</v>
      </c>
      <c r="I12" s="44" t="s">
        <v>18</v>
      </c>
      <c r="J12" s="39" t="s">
        <v>12</v>
      </c>
      <c r="K12" s="40">
        <v>0</v>
      </c>
      <c r="L12" s="41"/>
      <c r="M12" s="42"/>
    </row>
    <row r="13" spans="1:13" ht="16.5" thickBot="1" x14ac:dyDescent="0.3">
      <c r="A13" s="31"/>
      <c r="B13" s="28">
        <v>2</v>
      </c>
      <c r="C13" s="29">
        <f t="shared" si="0"/>
        <v>0</v>
      </c>
      <c r="D13" s="30"/>
      <c r="E13" s="31"/>
      <c r="F13" s="28">
        <v>2</v>
      </c>
      <c r="G13" s="32">
        <f t="shared" si="1"/>
        <v>0</v>
      </c>
      <c r="I13" s="48" t="s">
        <v>11</v>
      </c>
      <c r="J13" s="49" t="s">
        <v>16</v>
      </c>
      <c r="K13" s="58">
        <f>K10-K11+K12</f>
        <v>266.54000000000002</v>
      </c>
      <c r="L13" s="59">
        <f>L10-L11+L12</f>
        <v>0</v>
      </c>
      <c r="M13" s="46">
        <f>M10-M11+M12</f>
        <v>0</v>
      </c>
    </row>
    <row r="14" spans="1:13" ht="15" x14ac:dyDescent="0.2">
      <c r="A14" s="53"/>
      <c r="B14" s="54" t="s">
        <v>19</v>
      </c>
      <c r="C14" s="55"/>
      <c r="D14" s="19"/>
      <c r="E14" s="56"/>
      <c r="F14" s="54" t="s">
        <v>19</v>
      </c>
      <c r="G14" s="57"/>
      <c r="I14" s="38" t="s">
        <v>20</v>
      </c>
      <c r="J14" s="39" t="s">
        <v>12</v>
      </c>
      <c r="K14" s="97">
        <f>K18*0.1</f>
        <v>0</v>
      </c>
      <c r="L14" s="36"/>
      <c r="M14" s="37"/>
    </row>
    <row r="15" spans="1:13" ht="16.5" thickBot="1" x14ac:dyDescent="0.3">
      <c r="A15" s="31"/>
      <c r="B15" s="28">
        <v>5</v>
      </c>
      <c r="C15" s="29">
        <f>+A15*B15</f>
        <v>0</v>
      </c>
      <c r="D15" s="30"/>
      <c r="E15" s="31">
        <v>50</v>
      </c>
      <c r="F15" s="28">
        <v>5</v>
      </c>
      <c r="G15" s="32">
        <f>+E15*F15</f>
        <v>250</v>
      </c>
      <c r="I15" s="48" t="s">
        <v>11</v>
      </c>
      <c r="J15" s="49" t="s">
        <v>16</v>
      </c>
      <c r="K15" s="50">
        <f>+K13-K14</f>
        <v>266.54000000000002</v>
      </c>
      <c r="L15" s="51">
        <f>L11-L13+L14</f>
        <v>0</v>
      </c>
      <c r="M15" s="52">
        <f>M11-M13+M14</f>
        <v>0</v>
      </c>
    </row>
    <row r="16" spans="1:13" ht="15.75" thickBot="1" x14ac:dyDescent="0.25">
      <c r="A16" s="31"/>
      <c r="B16" s="28">
        <v>10</v>
      </c>
      <c r="C16" s="29">
        <f>+A16*B16</f>
        <v>0</v>
      </c>
      <c r="D16" s="30"/>
      <c r="E16" s="31">
        <v>21</v>
      </c>
      <c r="F16" s="28">
        <v>10</v>
      </c>
      <c r="G16" s="32">
        <f>+E16*F16</f>
        <v>210</v>
      </c>
      <c r="I16" s="60" t="s">
        <v>21</v>
      </c>
      <c r="J16" s="39" t="s">
        <v>12</v>
      </c>
      <c r="K16" s="61"/>
      <c r="L16" s="62"/>
      <c r="M16" s="30"/>
    </row>
    <row r="17" spans="1:13" ht="16.5" thickBot="1" x14ac:dyDescent="0.3">
      <c r="A17" s="31"/>
      <c r="B17" s="28">
        <v>20</v>
      </c>
      <c r="C17" s="29">
        <f>+A17*B17</f>
        <v>0</v>
      </c>
      <c r="D17" s="30"/>
      <c r="E17" s="31">
        <v>11</v>
      </c>
      <c r="F17" s="28">
        <v>20</v>
      </c>
      <c r="G17" s="32">
        <f>+E17*F17</f>
        <v>220</v>
      </c>
      <c r="I17" s="48" t="s">
        <v>11</v>
      </c>
      <c r="J17" s="49" t="s">
        <v>16</v>
      </c>
      <c r="K17" s="63">
        <f>K15+K16</f>
        <v>266.54000000000002</v>
      </c>
      <c r="L17" s="64">
        <f>L15+L16</f>
        <v>0</v>
      </c>
      <c r="M17" s="65">
        <f>M15+M16</f>
        <v>0</v>
      </c>
    </row>
    <row r="18" spans="1:13" ht="15" x14ac:dyDescent="0.2">
      <c r="A18" s="31"/>
      <c r="B18" s="28">
        <v>50</v>
      </c>
      <c r="C18" s="29">
        <f>+A18*B18</f>
        <v>0</v>
      </c>
      <c r="D18" s="30"/>
      <c r="E18" s="31">
        <v>6</v>
      </c>
      <c r="F18" s="28">
        <v>50</v>
      </c>
      <c r="G18" s="32">
        <f>+E18*F18</f>
        <v>300</v>
      </c>
      <c r="I18" s="38" t="s">
        <v>22</v>
      </c>
      <c r="J18" s="39"/>
      <c r="K18" s="35"/>
      <c r="L18" s="36"/>
      <c r="M18" s="37"/>
    </row>
    <row r="19" spans="1:13" ht="15.75" thickBot="1" x14ac:dyDescent="0.25">
      <c r="A19" s="31"/>
      <c r="B19" s="28">
        <v>100</v>
      </c>
      <c r="C19" s="29">
        <f>+A19*B19</f>
        <v>0</v>
      </c>
      <c r="D19" s="30"/>
      <c r="E19" s="31"/>
      <c r="F19" s="28">
        <v>100</v>
      </c>
      <c r="G19" s="32">
        <f>+E19*F19</f>
        <v>0</v>
      </c>
      <c r="I19" s="44" t="s">
        <v>24</v>
      </c>
      <c r="J19" s="39"/>
      <c r="K19" s="68">
        <v>266.54000000000002</v>
      </c>
      <c r="L19" s="13">
        <f>L17-L18</f>
        <v>0</v>
      </c>
      <c r="M19" s="14">
        <f>M17-M18</f>
        <v>0</v>
      </c>
    </row>
    <row r="20" spans="1:13" ht="16.5" thickBot="1" x14ac:dyDescent="0.3">
      <c r="A20" s="53"/>
      <c r="B20" s="66" t="s">
        <v>23</v>
      </c>
      <c r="C20" s="55"/>
      <c r="D20" s="19"/>
      <c r="E20" s="67"/>
      <c r="F20" s="66" t="s">
        <v>23</v>
      </c>
      <c r="G20" s="57"/>
      <c r="I20" s="70" t="s">
        <v>25</v>
      </c>
      <c r="J20" s="71" t="s">
        <v>16</v>
      </c>
      <c r="K20" s="63"/>
      <c r="L20" s="64">
        <f>L18+L19</f>
        <v>0</v>
      </c>
      <c r="M20" s="65">
        <f>M18+M19</f>
        <v>0</v>
      </c>
    </row>
    <row r="21" spans="1:13" ht="16.5" thickBot="1" x14ac:dyDescent="0.3">
      <c r="A21" s="27"/>
      <c r="B21" s="69">
        <v>0.01</v>
      </c>
      <c r="C21" s="29">
        <f>+A21*0.5</f>
        <v>0</v>
      </c>
      <c r="D21" s="30"/>
      <c r="E21" s="31"/>
      <c r="F21" s="69">
        <v>0.01</v>
      </c>
      <c r="G21" s="29">
        <f>+E21*0.5</f>
        <v>0</v>
      </c>
      <c r="I21" s="72" t="s">
        <v>26</v>
      </c>
      <c r="J21" s="73" t="s">
        <v>16</v>
      </c>
      <c r="K21" s="74">
        <f>-K17+K19+K18</f>
        <v>0</v>
      </c>
      <c r="L21" s="64">
        <f>L19+L20</f>
        <v>0</v>
      </c>
      <c r="M21" s="65">
        <f>M19+M20</f>
        <v>0</v>
      </c>
    </row>
    <row r="22" spans="1:13" ht="15.75" thickBot="1" x14ac:dyDescent="0.25">
      <c r="A22" s="31"/>
      <c r="B22" s="69">
        <v>0.05</v>
      </c>
      <c r="C22" s="29">
        <f>+A22*2</f>
        <v>0</v>
      </c>
      <c r="D22" s="30"/>
      <c r="E22" s="31"/>
      <c r="F22" s="69">
        <v>0.05</v>
      </c>
      <c r="G22" s="29">
        <f>+E22*2</f>
        <v>0</v>
      </c>
    </row>
    <row r="23" spans="1:13" ht="15.75" x14ac:dyDescent="0.25">
      <c r="A23" s="31"/>
      <c r="B23" s="69">
        <v>0.1</v>
      </c>
      <c r="C23" s="29">
        <f>+A23*5</f>
        <v>0</v>
      </c>
      <c r="D23" s="30"/>
      <c r="E23" s="31"/>
      <c r="F23" s="69">
        <v>0.1</v>
      </c>
      <c r="G23" s="29">
        <f>+E23*5</f>
        <v>0</v>
      </c>
      <c r="I23" s="75"/>
      <c r="J23" s="76"/>
      <c r="K23" s="77"/>
      <c r="L23" s="77"/>
      <c r="M23" s="77"/>
    </row>
    <row r="24" spans="1:13" ht="15" x14ac:dyDescent="0.2">
      <c r="A24" s="31"/>
      <c r="B24" s="69">
        <v>0.25</v>
      </c>
      <c r="C24" s="29">
        <f>+A24*10</f>
        <v>0</v>
      </c>
      <c r="D24" s="30"/>
      <c r="E24" s="31"/>
      <c r="F24" s="69">
        <v>0.25</v>
      </c>
      <c r="G24" s="29">
        <f>+E24*10</f>
        <v>0</v>
      </c>
      <c r="I24" s="78"/>
      <c r="J24" s="78"/>
      <c r="K24" s="78"/>
      <c r="L24" s="78"/>
      <c r="M24" s="78"/>
    </row>
    <row r="25" spans="1:13" ht="15" x14ac:dyDescent="0.2">
      <c r="A25" s="27"/>
      <c r="B25" s="69">
        <v>1</v>
      </c>
      <c r="C25" s="29">
        <f>+A25*25</f>
        <v>0</v>
      </c>
      <c r="D25" s="30"/>
      <c r="E25" s="31"/>
      <c r="F25" s="69">
        <v>1</v>
      </c>
      <c r="G25" s="29">
        <f>+E25*25</f>
        <v>0</v>
      </c>
      <c r="I25" s="79"/>
      <c r="J25" s="79"/>
      <c r="K25" s="79"/>
      <c r="L25" s="79"/>
      <c r="M25" s="79"/>
    </row>
    <row r="26" spans="1:13" ht="15" x14ac:dyDescent="0.2">
      <c r="A26" s="31"/>
      <c r="B26" s="69">
        <v>2</v>
      </c>
      <c r="C26" s="29">
        <f>+A26*50</f>
        <v>0</v>
      </c>
      <c r="D26" s="30"/>
      <c r="E26" s="31"/>
      <c r="F26" s="69">
        <v>2</v>
      </c>
      <c r="G26" s="29">
        <f>+E26*50</f>
        <v>0</v>
      </c>
      <c r="I26" s="79"/>
      <c r="J26" s="79"/>
      <c r="K26" s="79" t="s">
        <v>44</v>
      </c>
      <c r="L26" s="79"/>
      <c r="M26" s="79"/>
    </row>
    <row r="27" spans="1:13" ht="15" x14ac:dyDescent="0.2">
      <c r="A27" s="80"/>
      <c r="B27" s="81" t="s">
        <v>27</v>
      </c>
      <c r="C27" s="82">
        <f>+A27</f>
        <v>0</v>
      </c>
      <c r="D27" s="19"/>
      <c r="E27" s="83"/>
      <c r="F27" s="81" t="s">
        <v>27</v>
      </c>
      <c r="G27" s="84">
        <f>+E27</f>
        <v>0</v>
      </c>
      <c r="I27" s="79"/>
      <c r="J27" s="79"/>
      <c r="K27" s="79"/>
      <c r="L27" s="79"/>
      <c r="M27" s="79"/>
    </row>
    <row r="28" spans="1:13" ht="15" x14ac:dyDescent="0.2">
      <c r="A28" s="80"/>
      <c r="B28" s="85" t="s">
        <v>28</v>
      </c>
      <c r="C28" s="82">
        <f>+A28</f>
        <v>0</v>
      </c>
      <c r="D28" s="19"/>
      <c r="E28" s="83"/>
      <c r="F28" s="85" t="s">
        <v>28</v>
      </c>
      <c r="G28" s="84">
        <f>+E28</f>
        <v>0</v>
      </c>
      <c r="I28" s="78"/>
      <c r="J28" s="78"/>
      <c r="K28" s="78"/>
      <c r="L28" s="78"/>
      <c r="M28" s="78"/>
    </row>
    <row r="29" spans="1:13" ht="15" x14ac:dyDescent="0.2">
      <c r="A29" s="80"/>
      <c r="B29" s="85" t="s">
        <v>29</v>
      </c>
      <c r="C29" s="86">
        <f>+A29</f>
        <v>0</v>
      </c>
      <c r="D29" s="19"/>
      <c r="E29" s="98">
        <f>+A29-K11+K12</f>
        <v>0</v>
      </c>
      <c r="F29" s="85" t="s">
        <v>29</v>
      </c>
      <c r="G29" s="101">
        <f>SUM(E29)</f>
        <v>0</v>
      </c>
      <c r="I29" s="79"/>
      <c r="J29" s="79"/>
      <c r="K29" s="79"/>
      <c r="L29" s="79"/>
      <c r="M29" s="79"/>
    </row>
    <row r="30" spans="1:13" ht="15" x14ac:dyDescent="0.2">
      <c r="A30" s="80"/>
      <c r="B30" s="88" t="s">
        <v>30</v>
      </c>
      <c r="C30" s="89">
        <f>+SUM(C8:C29)-C31</f>
        <v>-1000</v>
      </c>
      <c r="D30" s="19"/>
      <c r="E30" s="83"/>
      <c r="F30" s="88" t="s">
        <v>30</v>
      </c>
      <c r="G30" s="90">
        <f>+SUM(G8:G29)-G31</f>
        <v>0.29999999999995453</v>
      </c>
      <c r="I30" s="79"/>
      <c r="J30" s="79"/>
      <c r="K30" s="79"/>
      <c r="L30" s="79"/>
      <c r="M30" s="79"/>
    </row>
    <row r="31" spans="1:13" ht="15.75" thickBot="1" x14ac:dyDescent="0.25">
      <c r="A31" s="91"/>
      <c r="B31" s="92" t="s">
        <v>11</v>
      </c>
      <c r="C31" s="93">
        <v>1000</v>
      </c>
      <c r="D31" s="19"/>
      <c r="E31" s="94"/>
      <c r="F31" s="95" t="s">
        <v>11</v>
      </c>
      <c r="G31" s="96">
        <v>1000</v>
      </c>
      <c r="I31" s="78"/>
      <c r="J31" s="78"/>
      <c r="K31" s="78"/>
      <c r="L31" s="78"/>
      <c r="M31" s="78"/>
    </row>
    <row r="32" spans="1:13" ht="15" x14ac:dyDescent="0.2">
      <c r="D32" s="8"/>
      <c r="E32" s="8"/>
      <c r="F32" s="8"/>
    </row>
    <row r="33" ht="15" x14ac:dyDescent="0.2"/>
    <row r="34" ht="15" x14ac:dyDescent="0.2"/>
  </sheetData>
  <sheetProtection password="CF74" sheet="1" objects="1" scenarios="1"/>
  <dataConsolidate>
    <dataRefs count="1">
      <dataRef name="$A$29+$K$12-$K$11"/>
    </dataRefs>
  </dataConsolidate>
  <mergeCells count="5">
    <mergeCell ref="E1:G1"/>
    <mergeCell ref="A3:G3"/>
    <mergeCell ref="J3:L3"/>
    <mergeCell ref="A5:C5"/>
    <mergeCell ref="E5:G5"/>
  </mergeCells>
  <phoneticPr fontId="9" type="noConversion"/>
  <dataValidations count="3">
    <dataValidation type="list" allowBlank="1" showInputMessage="1" showErrorMessage="1" sqref="E1:G1" xr:uid="{00000000-0002-0000-0000-000000000000}">
      <formula1>EMPLOYER</formula1>
    </dataValidation>
    <dataValidation type="list" allowBlank="1" showInputMessage="1" showErrorMessage="1" sqref="M1" xr:uid="{00000000-0002-0000-0000-000001000000}">
      <formula1>AMPM</formula1>
    </dataValidation>
    <dataValidation type="decimal" showInputMessage="1" showErrorMessage="1" errorTitle="ATTENTION!!! WARNING!!! AVISO!!!" error="ATTENTION!!! WARNING!!!_x000a_Ne pas modifier cette cellule S.V.P Cliquez sur annuler!" sqref="E29" xr:uid="{00000000-0002-0000-0000-000002000000}">
      <formula1>A29+K12-K11</formula1>
      <formula2>1000</formula2>
    </dataValidation>
  </dataValidations>
  <pageMargins left="0.25" right="0.25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4"/>
  <sheetViews>
    <sheetView tabSelected="1" zoomScaleNormal="100" workbookViewId="0">
      <selection activeCell="P26" sqref="P26"/>
    </sheetView>
  </sheetViews>
  <sheetFormatPr baseColWidth="10" defaultColWidth="11.42578125" defaultRowHeight="17.100000000000001" customHeight="1" x14ac:dyDescent="0.2"/>
  <cols>
    <col min="1" max="1" width="9.28515625" style="8" customWidth="1"/>
    <col min="2" max="2" width="11.7109375" style="3" customWidth="1"/>
    <col min="3" max="3" width="12.28515625" style="8" customWidth="1"/>
    <col min="4" max="4" width="1.42578125" style="3" customWidth="1"/>
    <col min="5" max="5" width="10" style="3" customWidth="1"/>
    <col min="6" max="6" width="11.5703125" style="3" customWidth="1"/>
    <col min="7" max="7" width="12.140625" style="8" customWidth="1"/>
    <col min="8" max="8" width="2.42578125" style="3" customWidth="1"/>
    <col min="9" max="9" width="20.85546875" style="3" customWidth="1"/>
    <col min="10" max="10" width="2.7109375" style="3" customWidth="1"/>
    <col min="11" max="11" width="24.140625" style="3" customWidth="1"/>
    <col min="12" max="12" width="15.7109375" style="3" customWidth="1"/>
    <col min="13" max="13" width="16.140625" style="3" customWidth="1"/>
    <col min="14" max="16384" width="11.42578125" style="3"/>
  </cols>
  <sheetData>
    <row r="1" spans="1:15" ht="16.5" thickBot="1" x14ac:dyDescent="0.3">
      <c r="A1" s="1" t="s">
        <v>0</v>
      </c>
      <c r="B1" s="1"/>
      <c r="C1" s="2"/>
      <c r="E1" s="104" t="s">
        <v>46</v>
      </c>
      <c r="F1" s="104"/>
      <c r="G1" s="104"/>
      <c r="I1" s="4" t="s">
        <v>1</v>
      </c>
      <c r="K1" s="5">
        <v>45872</v>
      </c>
      <c r="L1" s="6"/>
      <c r="M1" s="7" t="s">
        <v>43</v>
      </c>
    </row>
    <row r="2" spans="1:15" ht="15.75" thickTop="1" x14ac:dyDescent="0.2"/>
    <row r="3" spans="1:15" ht="15" x14ac:dyDescent="0.2">
      <c r="A3" s="105" t="s">
        <v>2</v>
      </c>
      <c r="B3" s="105"/>
      <c r="C3" s="105"/>
      <c r="D3" s="105"/>
      <c r="E3" s="105"/>
      <c r="F3" s="105"/>
      <c r="G3" s="105"/>
      <c r="J3" s="105" t="s">
        <v>3</v>
      </c>
      <c r="K3" s="105"/>
      <c r="L3" s="105"/>
    </row>
    <row r="4" spans="1:15" ht="15.75" thickBot="1" x14ac:dyDescent="0.25"/>
    <row r="5" spans="1:15" ht="15" x14ac:dyDescent="0.2">
      <c r="A5" s="106" t="s">
        <v>4</v>
      </c>
      <c r="B5" s="106"/>
      <c r="C5" s="106"/>
      <c r="D5" s="9"/>
      <c r="E5" s="106" t="s">
        <v>5</v>
      </c>
      <c r="F5" s="106"/>
      <c r="G5" s="106"/>
      <c r="K5" s="10" t="s">
        <v>6</v>
      </c>
      <c r="L5" s="11" t="s">
        <v>7</v>
      </c>
      <c r="M5" s="12" t="s">
        <v>8</v>
      </c>
    </row>
    <row r="6" spans="1:15" ht="15.75" thickBot="1" x14ac:dyDescent="0.25">
      <c r="K6" s="13"/>
      <c r="L6" s="14"/>
      <c r="M6" s="15"/>
    </row>
    <row r="7" spans="1:15" ht="15.75" x14ac:dyDescent="0.25">
      <c r="A7" s="16" t="s">
        <v>9</v>
      </c>
      <c r="B7" s="17" t="s">
        <v>10</v>
      </c>
      <c r="C7" s="18" t="s">
        <v>11</v>
      </c>
      <c r="D7" s="19"/>
      <c r="E7" s="20" t="s">
        <v>9</v>
      </c>
      <c r="F7" s="21" t="s">
        <v>10</v>
      </c>
      <c r="G7" s="22" t="s">
        <v>11</v>
      </c>
      <c r="I7" s="99" t="s">
        <v>36</v>
      </c>
      <c r="J7" s="23" t="s">
        <v>12</v>
      </c>
      <c r="K7" s="24">
        <v>0</v>
      </c>
      <c r="L7" s="25"/>
      <c r="M7" s="26"/>
    </row>
    <row r="8" spans="1:15" ht="15" x14ac:dyDescent="0.2">
      <c r="A8" s="31"/>
      <c r="B8" s="28">
        <v>0.01</v>
      </c>
      <c r="C8" s="29">
        <f t="shared" ref="C8:C13" si="0">+A8*B8</f>
        <v>0</v>
      </c>
      <c r="D8" s="30"/>
      <c r="E8" s="31"/>
      <c r="F8" s="28">
        <v>0.01</v>
      </c>
      <c r="G8" s="32">
        <f>+E8*F8</f>
        <v>0</v>
      </c>
      <c r="I8" s="33" t="s">
        <v>13</v>
      </c>
      <c r="J8" s="34" t="s">
        <v>12</v>
      </c>
      <c r="K8" s="35">
        <v>0</v>
      </c>
      <c r="L8" s="36"/>
      <c r="M8" s="37"/>
    </row>
    <row r="9" spans="1:15" ht="15.75" thickBot="1" x14ac:dyDescent="0.25">
      <c r="A9" s="31"/>
      <c r="B9" s="28">
        <v>0.05</v>
      </c>
      <c r="C9" s="29">
        <f t="shared" si="0"/>
        <v>0</v>
      </c>
      <c r="D9" s="30"/>
      <c r="E9" s="31">
        <v>0</v>
      </c>
      <c r="F9" s="28">
        <v>0.05</v>
      </c>
      <c r="G9" s="32">
        <f t="shared" ref="G9:G10" si="1">+E9*F9</f>
        <v>0</v>
      </c>
      <c r="I9" s="44" t="s">
        <v>15</v>
      </c>
      <c r="J9" s="39" t="s">
        <v>14</v>
      </c>
      <c r="K9" s="45">
        <f>244.43-75.79</f>
        <v>168.64</v>
      </c>
      <c r="L9" s="46"/>
      <c r="M9" s="47"/>
    </row>
    <row r="10" spans="1:15" ht="16.5" thickBot="1" x14ac:dyDescent="0.3">
      <c r="A10" s="43"/>
      <c r="B10" s="28">
        <v>0.1</v>
      </c>
      <c r="C10" s="29">
        <f t="shared" si="0"/>
        <v>0</v>
      </c>
      <c r="D10" s="30"/>
      <c r="E10" s="43">
        <v>0</v>
      </c>
      <c r="F10" s="28">
        <v>0.1</v>
      </c>
      <c r="G10" s="32">
        <f t="shared" si="1"/>
        <v>0</v>
      </c>
      <c r="I10" s="48" t="s">
        <v>11</v>
      </c>
      <c r="J10" s="49" t="s">
        <v>16</v>
      </c>
      <c r="K10" s="45">
        <v>168.64</v>
      </c>
      <c r="L10" s="51">
        <f>L8-L9</f>
        <v>0</v>
      </c>
      <c r="M10" s="52">
        <f>M8-M9</f>
        <v>0</v>
      </c>
    </row>
    <row r="11" spans="1:15" ht="15" x14ac:dyDescent="0.2">
      <c r="A11" s="31"/>
      <c r="B11" s="28">
        <v>0.25</v>
      </c>
      <c r="C11" s="29">
        <f t="shared" si="0"/>
        <v>0</v>
      </c>
      <c r="D11" s="30"/>
      <c r="E11" s="31">
        <v>0</v>
      </c>
      <c r="F11" s="28">
        <v>0.25</v>
      </c>
      <c r="G11" s="32">
        <v>0</v>
      </c>
      <c r="I11" s="38" t="s">
        <v>17</v>
      </c>
      <c r="J11" s="39" t="s">
        <v>14</v>
      </c>
      <c r="K11" s="35">
        <v>0</v>
      </c>
      <c r="L11" s="36"/>
      <c r="M11" s="37"/>
      <c r="O11" s="3" t="s">
        <v>44</v>
      </c>
    </row>
    <row r="12" spans="1:15" ht="15" x14ac:dyDescent="0.2">
      <c r="A12" s="31"/>
      <c r="B12" s="28">
        <v>1</v>
      </c>
      <c r="C12" s="29">
        <f t="shared" si="0"/>
        <v>0</v>
      </c>
      <c r="D12" s="30"/>
      <c r="E12" s="31">
        <v>0</v>
      </c>
      <c r="F12" s="28">
        <v>1</v>
      </c>
      <c r="G12" s="32">
        <v>0</v>
      </c>
      <c r="I12" s="44" t="s">
        <v>18</v>
      </c>
      <c r="J12" s="39" t="s">
        <v>12</v>
      </c>
      <c r="K12" s="40">
        <v>168.64</v>
      </c>
      <c r="L12" s="41"/>
      <c r="M12" s="42"/>
    </row>
    <row r="13" spans="1:15" ht="16.5" thickBot="1" x14ac:dyDescent="0.3">
      <c r="A13" s="31"/>
      <c r="B13" s="28">
        <v>2</v>
      </c>
      <c r="C13" s="29">
        <f t="shared" si="0"/>
        <v>0</v>
      </c>
      <c r="D13" s="30"/>
      <c r="E13" s="31">
        <v>0</v>
      </c>
      <c r="F13" s="28">
        <v>2</v>
      </c>
      <c r="G13" s="32">
        <v>0</v>
      </c>
      <c r="I13" s="48" t="s">
        <v>11</v>
      </c>
      <c r="J13" s="49" t="s">
        <v>16</v>
      </c>
      <c r="K13" s="58">
        <v>168.64</v>
      </c>
      <c r="L13" s="59">
        <f>L10-L11+L12</f>
        <v>0</v>
      </c>
      <c r="M13" s="46">
        <f>M10-M11+M12</f>
        <v>0</v>
      </c>
    </row>
    <row r="14" spans="1:15" ht="15" x14ac:dyDescent="0.2">
      <c r="A14" s="56"/>
      <c r="B14" s="54" t="s">
        <v>19</v>
      </c>
      <c r="C14" s="55"/>
      <c r="D14" s="19"/>
      <c r="E14" s="56"/>
      <c r="F14" s="54" t="s">
        <v>19</v>
      </c>
      <c r="G14" s="57"/>
      <c r="I14" s="38" t="s">
        <v>20</v>
      </c>
      <c r="J14" s="39" t="s">
        <v>12</v>
      </c>
      <c r="K14" s="97"/>
      <c r="L14" s="36"/>
      <c r="M14" s="37"/>
    </row>
    <row r="15" spans="1:15" ht="16.5" thickBot="1" x14ac:dyDescent="0.3">
      <c r="A15" s="31"/>
      <c r="B15" s="28">
        <v>5</v>
      </c>
      <c r="C15" s="29">
        <f>+A15*B15</f>
        <v>0</v>
      </c>
      <c r="D15" s="30"/>
      <c r="E15" s="31">
        <v>3</v>
      </c>
      <c r="F15" s="28">
        <v>5</v>
      </c>
      <c r="G15" s="32">
        <v>15</v>
      </c>
      <c r="I15" s="48" t="s">
        <v>11</v>
      </c>
      <c r="J15" s="49" t="s">
        <v>16</v>
      </c>
      <c r="K15" s="50"/>
      <c r="L15" s="51">
        <f>L11-L13+L14</f>
        <v>0</v>
      </c>
      <c r="M15" s="52">
        <f>M11-M13+M14</f>
        <v>0</v>
      </c>
    </row>
    <row r="16" spans="1:15" ht="15.75" thickBot="1" x14ac:dyDescent="0.25">
      <c r="A16" s="31"/>
      <c r="B16" s="28">
        <v>10</v>
      </c>
      <c r="C16" s="29">
        <f>+A16*B16</f>
        <v>0</v>
      </c>
      <c r="D16" s="30"/>
      <c r="E16" s="31">
        <v>0</v>
      </c>
      <c r="F16" s="28">
        <v>10</v>
      </c>
      <c r="G16" s="32">
        <v>0</v>
      </c>
      <c r="I16" s="60" t="s">
        <v>21</v>
      </c>
      <c r="J16" s="39" t="s">
        <v>12</v>
      </c>
      <c r="K16" s="61"/>
      <c r="L16" s="62"/>
      <c r="M16" s="30"/>
    </row>
    <row r="17" spans="1:13" ht="16.5" thickBot="1" x14ac:dyDescent="0.3">
      <c r="A17" s="31"/>
      <c r="B17" s="28">
        <v>20</v>
      </c>
      <c r="C17" s="29">
        <f>+A17*B17</f>
        <v>0</v>
      </c>
      <c r="D17" s="30"/>
      <c r="E17" s="31">
        <v>6</v>
      </c>
      <c r="F17" s="28">
        <v>20</v>
      </c>
      <c r="G17" s="32">
        <v>120</v>
      </c>
      <c r="I17" s="48" t="s">
        <v>11</v>
      </c>
      <c r="J17" s="49" t="s">
        <v>16</v>
      </c>
      <c r="K17" s="63"/>
      <c r="L17" s="64">
        <f>L15+L16</f>
        <v>0</v>
      </c>
      <c r="M17" s="65">
        <f>M15+M16</f>
        <v>0</v>
      </c>
    </row>
    <row r="18" spans="1:13" ht="15" x14ac:dyDescent="0.2">
      <c r="A18" s="31"/>
      <c r="B18" s="28">
        <v>50</v>
      </c>
      <c r="C18" s="29">
        <f>+A18*B18</f>
        <v>0</v>
      </c>
      <c r="D18" s="30"/>
      <c r="E18" s="31">
        <v>0</v>
      </c>
      <c r="F18" s="28">
        <v>50</v>
      </c>
      <c r="G18" s="32">
        <v>0</v>
      </c>
      <c r="I18" s="38" t="s">
        <v>22</v>
      </c>
      <c r="J18" s="39"/>
      <c r="K18" s="35"/>
      <c r="L18" s="36"/>
      <c r="M18" s="37"/>
    </row>
    <row r="19" spans="1:13" ht="15.75" thickBot="1" x14ac:dyDescent="0.25">
      <c r="A19" s="31">
        <v>5</v>
      </c>
      <c r="B19" s="28">
        <v>100</v>
      </c>
      <c r="C19" s="29">
        <f>+A19*B19</f>
        <v>500</v>
      </c>
      <c r="D19" s="30"/>
      <c r="E19" s="31">
        <v>2</v>
      </c>
      <c r="F19" s="28">
        <v>100</v>
      </c>
      <c r="G19" s="32">
        <v>200</v>
      </c>
      <c r="I19" s="44" t="s">
        <v>24</v>
      </c>
      <c r="J19" s="39"/>
      <c r="K19" s="68"/>
      <c r="L19" s="13">
        <f>L17-L18</f>
        <v>0</v>
      </c>
      <c r="M19" s="14">
        <f>M17-M18</f>
        <v>0</v>
      </c>
    </row>
    <row r="20" spans="1:13" ht="16.5" thickBot="1" x14ac:dyDescent="0.3">
      <c r="A20" s="67">
        <v>0</v>
      </c>
      <c r="B20" s="66" t="s">
        <v>23</v>
      </c>
      <c r="C20" s="55"/>
      <c r="D20" s="19"/>
      <c r="E20" s="67">
        <v>0</v>
      </c>
      <c r="F20" s="66" t="s">
        <v>23</v>
      </c>
      <c r="G20" s="57"/>
      <c r="I20" s="70" t="s">
        <v>25</v>
      </c>
      <c r="J20" s="71" t="s">
        <v>16</v>
      </c>
      <c r="K20" s="63"/>
      <c r="L20" s="64">
        <f>L18+L19</f>
        <v>0</v>
      </c>
      <c r="M20" s="65">
        <f>M18+M19</f>
        <v>0</v>
      </c>
    </row>
    <row r="21" spans="1:13" ht="16.5" thickBot="1" x14ac:dyDescent="0.3">
      <c r="A21" s="31"/>
      <c r="B21" s="69">
        <v>0.01</v>
      </c>
      <c r="C21" s="29">
        <f>+A21*0.5</f>
        <v>0</v>
      </c>
      <c r="D21" s="30"/>
      <c r="E21" s="31"/>
      <c r="F21" s="69">
        <v>0.01</v>
      </c>
      <c r="G21" s="100">
        <f>+E21*0.5</f>
        <v>0</v>
      </c>
      <c r="I21" s="72" t="s">
        <v>26</v>
      </c>
      <c r="J21" s="73" t="s">
        <v>16</v>
      </c>
      <c r="K21" s="74">
        <f>-K17+K19+K18</f>
        <v>0</v>
      </c>
      <c r="L21" s="64">
        <f>L19+L20</f>
        <v>0</v>
      </c>
      <c r="M21" s="65">
        <f>M19+M20</f>
        <v>0</v>
      </c>
    </row>
    <row r="22" spans="1:13" ht="15.75" thickBot="1" x14ac:dyDescent="0.25">
      <c r="A22" s="31"/>
      <c r="B22" s="69">
        <v>0.05</v>
      </c>
      <c r="C22" s="29">
        <f>+A22*2</f>
        <v>0</v>
      </c>
      <c r="D22" s="30"/>
      <c r="E22" s="31"/>
      <c r="F22" s="69">
        <v>0.05</v>
      </c>
      <c r="G22" s="32">
        <f>+E22*2</f>
        <v>0</v>
      </c>
    </row>
    <row r="23" spans="1:13" ht="15.75" x14ac:dyDescent="0.25">
      <c r="A23" s="31"/>
      <c r="B23" s="69">
        <v>0.1</v>
      </c>
      <c r="C23" s="29">
        <f>+A23*5</f>
        <v>0</v>
      </c>
      <c r="D23" s="30"/>
      <c r="E23" s="31"/>
      <c r="F23" s="69">
        <v>0.1</v>
      </c>
      <c r="G23" s="32">
        <f>+E23*5</f>
        <v>0</v>
      </c>
      <c r="I23" s="75"/>
      <c r="J23" s="76"/>
      <c r="K23" s="77"/>
      <c r="L23" s="77"/>
      <c r="M23" s="77"/>
    </row>
    <row r="24" spans="1:13" ht="15" x14ac:dyDescent="0.2">
      <c r="A24" s="31"/>
      <c r="B24" s="69">
        <v>0.25</v>
      </c>
      <c r="C24" s="29">
        <f>+A24*10</f>
        <v>0</v>
      </c>
      <c r="D24" s="30"/>
      <c r="E24" s="31"/>
      <c r="F24" s="69">
        <v>0.25</v>
      </c>
      <c r="G24" s="32">
        <f>+E24*10</f>
        <v>0</v>
      </c>
      <c r="I24" s="78" t="s">
        <v>48</v>
      </c>
      <c r="J24" s="78"/>
      <c r="K24" s="78"/>
      <c r="L24" s="78"/>
      <c r="M24" s="78"/>
    </row>
    <row r="25" spans="1:13" ht="15" x14ac:dyDescent="0.2">
      <c r="A25" s="31"/>
      <c r="B25" s="69">
        <v>1</v>
      </c>
      <c r="C25" s="29">
        <f>+A25*25</f>
        <v>0</v>
      </c>
      <c r="D25" s="30"/>
      <c r="E25" s="31"/>
      <c r="F25" s="69">
        <v>1</v>
      </c>
      <c r="G25" s="32">
        <f>+E25*25</f>
        <v>0</v>
      </c>
      <c r="I25" s="79" t="s">
        <v>44</v>
      </c>
      <c r="J25" s="79"/>
      <c r="K25" s="79" t="s">
        <v>44</v>
      </c>
      <c r="L25" s="79"/>
      <c r="M25" s="79"/>
    </row>
    <row r="26" spans="1:13" ht="15" x14ac:dyDescent="0.2">
      <c r="A26" s="31"/>
      <c r="B26" s="69">
        <v>2</v>
      </c>
      <c r="C26" s="29">
        <f>+A26*50</f>
        <v>0</v>
      </c>
      <c r="D26" s="30"/>
      <c r="E26" s="31"/>
      <c r="F26" s="69">
        <v>2</v>
      </c>
      <c r="G26" s="32">
        <f>+E26*50</f>
        <v>0</v>
      </c>
      <c r="I26" s="79"/>
      <c r="J26" s="79"/>
      <c r="K26" s="79" t="s">
        <v>44</v>
      </c>
      <c r="L26" s="79" t="s">
        <v>44</v>
      </c>
      <c r="M26" s="79"/>
    </row>
    <row r="27" spans="1:13" ht="15" x14ac:dyDescent="0.2">
      <c r="A27" s="80"/>
      <c r="B27" s="81" t="s">
        <v>27</v>
      </c>
      <c r="C27" s="82">
        <f>+A27</f>
        <v>0</v>
      </c>
      <c r="D27" s="19"/>
      <c r="E27" s="83"/>
      <c r="F27" s="81" t="s">
        <v>27</v>
      </c>
      <c r="G27" s="84">
        <f>+E27</f>
        <v>0</v>
      </c>
      <c r="I27" s="79"/>
      <c r="J27" s="79"/>
      <c r="K27" s="79"/>
      <c r="L27" s="79"/>
      <c r="M27" s="79"/>
    </row>
    <row r="28" spans="1:13" ht="15" x14ac:dyDescent="0.2">
      <c r="A28" s="80"/>
      <c r="B28" s="85" t="s">
        <v>28</v>
      </c>
      <c r="C28" s="82">
        <f>+A28</f>
        <v>0</v>
      </c>
      <c r="D28" s="19"/>
      <c r="E28" s="83"/>
      <c r="F28" s="85" t="s">
        <v>28</v>
      </c>
      <c r="G28" s="84">
        <f>+E28</f>
        <v>0</v>
      </c>
      <c r="I28" s="78"/>
      <c r="J28" s="78"/>
      <c r="K28" s="78"/>
      <c r="L28" s="78"/>
      <c r="M28" s="78"/>
    </row>
    <row r="29" spans="1:13" ht="15" x14ac:dyDescent="0.2">
      <c r="A29" s="80" t="s">
        <v>44</v>
      </c>
      <c r="B29" s="85" t="s">
        <v>29</v>
      </c>
      <c r="C29" s="86">
        <v>0</v>
      </c>
      <c r="D29" s="19"/>
      <c r="E29" s="98">
        <v>470.89</v>
      </c>
      <c r="F29" s="85" t="s">
        <v>29</v>
      </c>
      <c r="G29" s="87">
        <v>470.89</v>
      </c>
      <c r="I29" s="79"/>
      <c r="J29" s="79"/>
      <c r="K29" s="79"/>
      <c r="L29" s="79"/>
      <c r="M29" s="79"/>
    </row>
    <row r="30" spans="1:13" ht="15" x14ac:dyDescent="0.2">
      <c r="A30" s="80"/>
      <c r="B30" s="88" t="s">
        <v>30</v>
      </c>
      <c r="C30" s="89">
        <v>0</v>
      </c>
      <c r="D30" s="19"/>
      <c r="E30" s="83"/>
      <c r="F30" s="88" t="s">
        <v>30</v>
      </c>
      <c r="G30" s="90">
        <v>3.64</v>
      </c>
      <c r="I30" s="79"/>
      <c r="J30" s="79"/>
      <c r="K30" s="79"/>
      <c r="L30" s="79"/>
      <c r="M30" s="79"/>
    </row>
    <row r="31" spans="1:13" ht="15.75" thickBot="1" x14ac:dyDescent="0.25">
      <c r="A31" s="91"/>
      <c r="B31" s="92" t="s">
        <v>11</v>
      </c>
      <c r="C31" s="93">
        <v>500</v>
      </c>
      <c r="D31" s="19"/>
      <c r="E31" s="94"/>
      <c r="F31" s="95" t="s">
        <v>11</v>
      </c>
      <c r="G31" s="96">
        <v>500</v>
      </c>
      <c r="I31" s="78"/>
      <c r="J31" s="78"/>
      <c r="K31" s="78"/>
      <c r="L31" s="78"/>
      <c r="M31" s="78"/>
    </row>
    <row r="32" spans="1:13" ht="15" x14ac:dyDescent="0.2">
      <c r="D32" s="8"/>
      <c r="E32" s="8"/>
      <c r="F32" s="8"/>
    </row>
    <row r="33" ht="15" x14ac:dyDescent="0.2"/>
    <row r="34" ht="15" x14ac:dyDescent="0.2"/>
  </sheetData>
  <mergeCells count="5">
    <mergeCell ref="E1:G1"/>
    <mergeCell ref="A3:G3"/>
    <mergeCell ref="J3:L3"/>
    <mergeCell ref="A5:C5"/>
    <mergeCell ref="E5:G5"/>
  </mergeCells>
  <phoneticPr fontId="9" type="noConversion"/>
  <dataValidations count="3">
    <dataValidation type="list" allowBlank="1" showInputMessage="1" showErrorMessage="1" sqref="E1:G1" xr:uid="{00000000-0002-0000-0100-000000000000}">
      <formula1>EMPLOYER</formula1>
    </dataValidation>
    <dataValidation type="list" allowBlank="1" showInputMessage="1" showErrorMessage="1" sqref="M1" xr:uid="{00000000-0002-0000-0100-000001000000}">
      <formula1>AMPM</formula1>
    </dataValidation>
    <dataValidation type="decimal" showInputMessage="1" showErrorMessage="1" errorTitle="ATTENTION!!! WARNING!!! AVISO!!!" error="ATTENTION!!! WARNING!!!_x000a_Ne pas modifier cette cellule S.V.P Cliquez sur annuler!" sqref="E29" xr:uid="{00000000-0002-0000-0100-000002000000}">
      <formula1>A29+K12-K11</formula1>
      <formula2>1000</formula2>
    </dataValidation>
  </dataValidations>
  <pageMargins left="0.25" right="0.25" top="0.75" bottom="0.75" header="0.3" footer="0.3"/>
  <pageSetup paperSize="9" scale="8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6"/>
  <sheetViews>
    <sheetView workbookViewId="0">
      <selection activeCell="A4" sqref="A4"/>
    </sheetView>
  </sheetViews>
  <sheetFormatPr baseColWidth="10" defaultColWidth="11.42578125" defaultRowHeight="15" x14ac:dyDescent="0.25"/>
  <cols>
    <col min="2" max="2" width="25.42578125" customWidth="1"/>
  </cols>
  <sheetData>
    <row r="2" spans="1:2" x14ac:dyDescent="0.25">
      <c r="A2" t="s">
        <v>35</v>
      </c>
      <c r="B2" t="s">
        <v>32</v>
      </c>
    </row>
    <row r="3" spans="1:2" x14ac:dyDescent="0.25">
      <c r="A3" t="s">
        <v>45</v>
      </c>
      <c r="B3" t="s">
        <v>31</v>
      </c>
    </row>
    <row r="4" spans="1:2" x14ac:dyDescent="0.25">
      <c r="A4" t="s">
        <v>40</v>
      </c>
      <c r="B4" t="s">
        <v>33</v>
      </c>
    </row>
    <row r="5" spans="1:2" x14ac:dyDescent="0.25">
      <c r="A5" t="s">
        <v>45</v>
      </c>
      <c r="B5" t="s">
        <v>37</v>
      </c>
    </row>
    <row r="6" spans="1:2" x14ac:dyDescent="0.25">
      <c r="B6" t="s">
        <v>38</v>
      </c>
    </row>
    <row r="7" spans="1:2" x14ac:dyDescent="0.25">
      <c r="B7" t="s">
        <v>42</v>
      </c>
    </row>
    <row r="8" spans="1:2" x14ac:dyDescent="0.25">
      <c r="B8" t="s">
        <v>41</v>
      </c>
    </row>
    <row r="9" spans="1:2" x14ac:dyDescent="0.25">
      <c r="B9" s="102" t="s">
        <v>34</v>
      </c>
    </row>
    <row r="10" spans="1:2" x14ac:dyDescent="0.25">
      <c r="B10" s="102" t="s">
        <v>39</v>
      </c>
    </row>
    <row r="11" spans="1:2" x14ac:dyDescent="0.25">
      <c r="B11" s="102" t="s">
        <v>39</v>
      </c>
    </row>
    <row r="12" spans="1:2" x14ac:dyDescent="0.25">
      <c r="B12" s="102" t="s">
        <v>39</v>
      </c>
    </row>
    <row r="13" spans="1:2" x14ac:dyDescent="0.25">
      <c r="B13" s="102" t="s">
        <v>39</v>
      </c>
    </row>
    <row r="14" spans="1:2" x14ac:dyDescent="0.25">
      <c r="B14" s="102" t="s">
        <v>39</v>
      </c>
    </row>
    <row r="15" spans="1:2" x14ac:dyDescent="0.25">
      <c r="B15" s="102" t="s">
        <v>39</v>
      </c>
    </row>
    <row r="16" spans="1:2" x14ac:dyDescent="0.25">
      <c r="B16" s="102" t="s">
        <v>39</v>
      </c>
    </row>
  </sheetData>
  <sortState xmlns:xlrd2="http://schemas.microsoft.com/office/spreadsheetml/2017/richdata2" ref="B2:B12">
    <sortCondition ref="B2"/>
  </sortState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Caisse 1000$</vt:lpstr>
      <vt:lpstr>Caisse 500$</vt:lpstr>
      <vt:lpstr>Feuil3</vt:lpstr>
      <vt:lpstr>AMPM</vt:lpstr>
      <vt:lpstr>EMPLOYER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Auditeur De Nuit</dc:creator>
  <cp:lastModifiedBy>SAC</cp:lastModifiedBy>
  <cp:lastPrinted>2025-08-03T04:13:04Z</cp:lastPrinted>
  <dcterms:created xsi:type="dcterms:W3CDTF">2012-12-03T06:20:43Z</dcterms:created>
  <dcterms:modified xsi:type="dcterms:W3CDTF">2025-08-03T04:13:06Z</dcterms:modified>
</cp:coreProperties>
</file>