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K:\HP 2026-2027\04-April 2026\"/>
    </mc:Choice>
  </mc:AlternateContent>
  <xr:revisionPtr revIDLastSave="0" documentId="13_ncr:1_{9793C677-EA0D-478D-B546-01A95AFEA429}" xr6:coauthVersionLast="47" xr6:coauthVersionMax="47" xr10:uidLastSave="{00000000-0000-0000-0000-000000000000}"/>
  <bookViews>
    <workbookView xWindow="-120" yWindow="-120" windowWidth="25440" windowHeight="15270" activeTab="2" xr2:uid="{00000000-000D-0000-FFFF-FFFF00000000}"/>
  </bookViews>
  <sheets>
    <sheet name="mensuel" sheetId="8" r:id="rId1"/>
    <sheet name="données" sheetId="1" r:id="rId2"/>
    <sheet name="Journalier" sheetId="11" r:id="rId3"/>
    <sheet name="Feuil1" sheetId="12" r:id="rId4"/>
  </sheets>
  <definedNames>
    <definedName name="_xlnm._FilterDatabase" localSheetId="1" hidden="1">données!$A$12:$O$727</definedName>
    <definedName name="autorisation">Feuil1!$B$1:$B$20</definedName>
    <definedName name="_xlnm.Database">données!$A$12:$O$687</definedName>
    <definedName name="crit_banquet">données!$D$1:$D$2</definedName>
    <definedName name="crit_cupola">données!$B$1:$B$2</definedName>
    <definedName name="crit_Link">données!$A$1:$A$2</definedName>
    <definedName name="crit_piazza">données!$C$1:$C$2</definedName>
    <definedName name="crit_pmt14">données!$G$1:$G$2</definedName>
    <definedName name="crit_pmt15">données!$I$1:$I$2</definedName>
    <definedName name="crit_pmt17">données!$J$1:$J$2</definedName>
    <definedName name="crit_pmt500">données!$H$1:$H$687</definedName>
    <definedName name="crit_servch">données!$E$1:$E$2</definedName>
    <definedName name="crit_tabagie">données!$F$1:$F$2</definedName>
    <definedName name="debut_area">données!#REF!</definedName>
    <definedName name="grand_total">données!$L$726</definedName>
    <definedName name="_xlnm.Print_Titles" localSheetId="1">données!$12:$12</definedName>
    <definedName name="ligne_vierge">données!$A$9:$M$9</definedName>
    <definedName name="nameplace">Feuil1!$F$2:$F$8</definedName>
    <definedName name="nom_area">Feuil1!$F$2:$F$7</definedName>
    <definedName name="nom_paiement">Feuil1!$D$2:$D$6</definedName>
    <definedName name="nomrepas">Feuil1!$A$1:$A$13</definedName>
    <definedName name="_xlnm.Print_Area" localSheetId="1">données!$A$12:$O$722</definedName>
    <definedName name="_xlnm.Print_Area" localSheetId="3">Feuil1!$A$1:$F$31</definedName>
    <definedName name="_xlnm.Print_Area" localSheetId="2">Journalier!$A$1:$F$46</definedName>
  </definedNames>
  <calcPr calcId="191029"/>
  <pivotCaches>
    <pivotCache cacheId="18" r:id="rId5"/>
  </pivotCaches>
</workbook>
</file>

<file path=xl/calcChain.xml><?xml version="1.0" encoding="utf-8"?>
<calcChain xmlns="http://schemas.openxmlformats.org/spreadsheetml/2006/main">
  <c r="D447" i="1" l="1"/>
  <c r="C447" i="1"/>
  <c r="C446" i="1"/>
  <c r="L424" i="1"/>
  <c r="G441" i="1"/>
  <c r="C441" i="1"/>
  <c r="L420" i="1"/>
  <c r="L417" i="1"/>
  <c r="L418" i="1"/>
  <c r="L419" i="1"/>
  <c r="L421" i="1"/>
  <c r="L422" i="1"/>
  <c r="F415" i="1"/>
  <c r="C415" i="1" s="1"/>
  <c r="C414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6" i="1"/>
  <c r="L389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61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46" i="1"/>
  <c r="L342" i="1"/>
  <c r="L343" i="1"/>
  <c r="L344" i="1"/>
  <c r="L345" i="1"/>
  <c r="L341" i="1"/>
  <c r="C334" i="1"/>
  <c r="C333" i="1"/>
  <c r="H331" i="1"/>
  <c r="H329" i="1"/>
  <c r="H328" i="1"/>
  <c r="H327" i="1"/>
  <c r="H326" i="1"/>
  <c r="H325" i="1"/>
  <c r="H324" i="1"/>
  <c r="H323" i="1"/>
  <c r="H322" i="1"/>
  <c r="H321" i="1"/>
  <c r="C320" i="1"/>
  <c r="L308" i="1"/>
  <c r="C307" i="1"/>
  <c r="L297" i="1"/>
  <c r="C294" i="1"/>
  <c r="L294" i="1" s="1"/>
  <c r="G287" i="1"/>
  <c r="C287" i="1"/>
  <c r="P288" i="1"/>
  <c r="G283" i="1"/>
  <c r="C283" i="1" s="1"/>
  <c r="H279" i="1"/>
  <c r="C279" i="1"/>
  <c r="L278" i="1"/>
  <c r="L280" i="1"/>
  <c r="L281" i="1"/>
  <c r="L282" i="1"/>
  <c r="L284" i="1"/>
  <c r="L285" i="1"/>
  <c r="L286" i="1"/>
  <c r="L287" i="1"/>
  <c r="L288" i="1"/>
  <c r="L289" i="1"/>
  <c r="L290" i="1"/>
  <c r="L291" i="1"/>
  <c r="L292" i="1"/>
  <c r="L293" i="1"/>
  <c r="L295" i="1"/>
  <c r="L296" i="1"/>
  <c r="L298" i="1"/>
  <c r="L299" i="1"/>
  <c r="L300" i="1"/>
  <c r="L301" i="1"/>
  <c r="L302" i="1"/>
  <c r="L303" i="1"/>
  <c r="L304" i="1"/>
  <c r="L305" i="1"/>
  <c r="L306" i="1"/>
  <c r="L307" i="1"/>
  <c r="L277" i="1"/>
  <c r="G272" i="1"/>
  <c r="C272" i="1"/>
  <c r="G252" i="1"/>
  <c r="D252" i="1"/>
  <c r="C252" i="1"/>
  <c r="G251" i="1"/>
  <c r="C251" i="1"/>
  <c r="L251" i="1"/>
  <c r="L250" i="1"/>
  <c r="C233" i="1"/>
  <c r="L233" i="1" s="1"/>
  <c r="L246" i="1"/>
  <c r="G234" i="1"/>
  <c r="F234" i="1"/>
  <c r="C234" i="1"/>
  <c r="C231" i="1"/>
  <c r="L231" i="1"/>
  <c r="L240" i="1"/>
  <c r="C227" i="1"/>
  <c r="L227" i="1" s="1"/>
  <c r="C226" i="1"/>
  <c r="L223" i="1"/>
  <c r="L224" i="1"/>
  <c r="L225" i="1"/>
  <c r="L226" i="1"/>
  <c r="L228" i="1"/>
  <c r="L229" i="1"/>
  <c r="L230" i="1"/>
  <c r="L232" i="1"/>
  <c r="L234" i="1"/>
  <c r="L235" i="1"/>
  <c r="L236" i="1"/>
  <c r="L237" i="1"/>
  <c r="L222" i="1"/>
  <c r="C220" i="1"/>
  <c r="L220" i="1"/>
  <c r="L215" i="1"/>
  <c r="D213" i="1"/>
  <c r="C213" i="1"/>
  <c r="L199" i="1"/>
  <c r="C198" i="1"/>
  <c r="C196" i="1"/>
  <c r="L196" i="1"/>
  <c r="H178" i="1"/>
  <c r="H177" i="1"/>
  <c r="G176" i="1"/>
  <c r="C176" i="1"/>
  <c r="C175" i="1"/>
  <c r="L175" i="1" s="1"/>
  <c r="C171" i="1"/>
  <c r="C170" i="1"/>
  <c r="H168" i="1"/>
  <c r="C168" i="1"/>
  <c r="C167" i="1"/>
  <c r="C166" i="1"/>
  <c r="L415" i="1" l="1"/>
  <c r="L283" i="1"/>
  <c r="L279" i="1"/>
  <c r="L166" i="1"/>
  <c r="L159" i="1"/>
  <c r="L160" i="1"/>
  <c r="L161" i="1"/>
  <c r="L162" i="1"/>
  <c r="L163" i="1"/>
  <c r="L164" i="1"/>
  <c r="L165" i="1"/>
  <c r="L167" i="1"/>
  <c r="L168" i="1"/>
  <c r="L169" i="1"/>
  <c r="C147" i="1"/>
  <c r="L147" i="1" s="1"/>
  <c r="C144" i="1"/>
  <c r="L144" i="1"/>
  <c r="L145" i="1"/>
  <c r="L146" i="1"/>
  <c r="L148" i="1"/>
  <c r="L149" i="1"/>
  <c r="L150" i="1"/>
  <c r="L151" i="1"/>
  <c r="L152" i="1"/>
  <c r="L153" i="1"/>
  <c r="L154" i="1"/>
  <c r="L155" i="1"/>
  <c r="L156" i="1"/>
  <c r="L157" i="1"/>
  <c r="L158" i="1"/>
  <c r="L143" i="1"/>
  <c r="L133" i="1"/>
  <c r="L134" i="1"/>
  <c r="L13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7" i="1"/>
  <c r="L138" i="1"/>
  <c r="L139" i="1"/>
  <c r="L140" i="1"/>
  <c r="L141" i="1"/>
  <c r="L142" i="1"/>
  <c r="G136" i="1"/>
  <c r="C136" i="1"/>
  <c r="C114" i="1"/>
  <c r="C113" i="1"/>
  <c r="C111" i="1"/>
  <c r="L109" i="1"/>
  <c r="L101" i="1"/>
  <c r="J2" i="1"/>
  <c r="I2" i="1"/>
  <c r="G2" i="1"/>
  <c r="F2" i="1"/>
  <c r="E2" i="1"/>
  <c r="D2" i="1"/>
  <c r="C2" i="1"/>
  <c r="B2" i="1"/>
  <c r="A2" i="1"/>
  <c r="L100" i="1"/>
  <c r="L99" i="1"/>
  <c r="G98" i="1"/>
  <c r="C98" i="1"/>
  <c r="F96" i="1"/>
  <c r="C95" i="1"/>
  <c r="C93" i="1"/>
  <c r="G92" i="1"/>
  <c r="F92" i="1"/>
  <c r="C92" i="1"/>
  <c r="C89" i="1"/>
  <c r="F88" i="1"/>
  <c r="F87" i="1"/>
  <c r="D87" i="1"/>
  <c r="H84" i="1"/>
  <c r="H82" i="1"/>
  <c r="H81" i="1"/>
  <c r="H80" i="1"/>
  <c r="L78" i="1"/>
  <c r="D79" i="1"/>
  <c r="C75" i="1"/>
  <c r="C74" i="1"/>
  <c r="D71" i="1"/>
  <c r="C71" i="1"/>
  <c r="C70" i="1"/>
  <c r="C68" i="1"/>
  <c r="C62" i="1"/>
  <c r="H58" i="1"/>
  <c r="H56" i="1"/>
  <c r="H55" i="1"/>
  <c r="H52" i="1"/>
  <c r="D51" i="1"/>
  <c r="G50" i="1"/>
  <c r="C50" i="1"/>
  <c r="H48" i="1"/>
  <c r="H47" i="1"/>
  <c r="H46" i="1"/>
  <c r="H43" i="1"/>
  <c r="H42" i="1"/>
  <c r="H40" i="1"/>
  <c r="L38" i="1"/>
  <c r="L35" i="1"/>
  <c r="L36" i="1"/>
  <c r="L37" i="1"/>
  <c r="L23" i="1"/>
  <c r="L24" i="1"/>
  <c r="L27" i="1"/>
  <c r="F29" i="1"/>
  <c r="C30" i="1"/>
  <c r="L31" i="1"/>
  <c r="L32" i="1"/>
  <c r="L33" i="1"/>
  <c r="L34" i="1"/>
  <c r="L29" i="1"/>
  <c r="L30" i="1"/>
  <c r="L14" i="1"/>
  <c r="L15" i="1"/>
  <c r="L16" i="1"/>
  <c r="L17" i="1"/>
  <c r="L18" i="1"/>
  <c r="L19" i="1"/>
  <c r="L20" i="1"/>
  <c r="L21" i="1"/>
  <c r="L22" i="1"/>
  <c r="L25" i="1"/>
  <c r="L26" i="1"/>
  <c r="L28" i="1"/>
  <c r="L522" i="1"/>
  <c r="L590" i="1"/>
  <c r="L585" i="1"/>
  <c r="L586" i="1"/>
  <c r="L587" i="1"/>
  <c r="L588" i="1"/>
  <c r="L589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584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5" i="1" l="1"/>
  <c r="L526" i="1"/>
  <c r="L527" i="1"/>
  <c r="L528" i="1"/>
  <c r="L524" i="1"/>
  <c r="L504" i="1"/>
  <c r="L521" i="1"/>
  <c r="L523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05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480" i="1"/>
  <c r="L481" i="1"/>
  <c r="L482" i="1"/>
  <c r="L483" i="1"/>
  <c r="L479" i="1"/>
  <c r="L477" i="1" l="1"/>
  <c r="L478" i="1"/>
  <c r="L472" i="1"/>
  <c r="L473" i="1"/>
  <c r="L474" i="1"/>
  <c r="L475" i="1"/>
  <c r="L476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46" i="1"/>
  <c r="L443" i="1"/>
  <c r="L444" i="1"/>
  <c r="L445" i="1"/>
  <c r="L447" i="1"/>
  <c r="L433" i="1"/>
  <c r="L434" i="1"/>
  <c r="L435" i="1"/>
  <c r="L436" i="1"/>
  <c r="L437" i="1"/>
  <c r="L438" i="1"/>
  <c r="L439" i="1"/>
  <c r="L440" i="1"/>
  <c r="L441" i="1"/>
  <c r="L442" i="1"/>
  <c r="L432" i="1"/>
  <c r="L428" i="1"/>
  <c r="L429" i="1"/>
  <c r="L430" i="1"/>
  <c r="L431" i="1"/>
  <c r="L427" i="1"/>
  <c r="L425" i="1"/>
  <c r="L423" i="1"/>
  <c r="L426" i="1"/>
  <c r="L321" i="1"/>
  <c r="L322" i="1"/>
  <c r="L323" i="1"/>
  <c r="L324" i="1"/>
  <c r="L325" i="1"/>
  <c r="L326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27" i="1"/>
  <c r="L320" i="1"/>
  <c r="E724" i="1"/>
  <c r="E726" i="1"/>
  <c r="D724" i="1" l="1"/>
  <c r="D726" i="1"/>
  <c r="L319" i="1" l="1"/>
  <c r="L313" i="1"/>
  <c r="L314" i="1"/>
  <c r="L315" i="1"/>
  <c r="L316" i="1"/>
  <c r="L317" i="1"/>
  <c r="L318" i="1"/>
  <c r="L312" i="1"/>
  <c r="L309" i="1"/>
  <c r="L310" i="1"/>
  <c r="L311" i="1"/>
  <c r="L276" i="1"/>
  <c r="L274" i="1"/>
  <c r="L275" i="1"/>
  <c r="L272" i="1"/>
  <c r="L271" i="1"/>
  <c r="L270" i="1"/>
  <c r="L269" i="1"/>
  <c r="L252" i="1"/>
  <c r="L249" i="1"/>
  <c r="L253" i="1"/>
  <c r="L254" i="1"/>
  <c r="L255" i="1"/>
  <c r="L256" i="1"/>
  <c r="L257" i="1"/>
  <c r="L258" i="1"/>
  <c r="L259" i="1"/>
  <c r="L260" i="1"/>
  <c r="L261" i="1"/>
  <c r="L248" i="1"/>
  <c r="J724" i="1"/>
  <c r="L247" i="1"/>
  <c r="L245" i="1"/>
  <c r="L242" i="1"/>
  <c r="L243" i="1"/>
  <c r="L244" i="1"/>
  <c r="L238" i="1"/>
  <c r="L239" i="1"/>
  <c r="L170" i="1"/>
  <c r="L110" i="1"/>
  <c r="L112" i="1"/>
  <c r="L98" i="1"/>
  <c r="L96" i="1"/>
  <c r="L92" i="1"/>
  <c r="L84" i="1"/>
  <c r="L85" i="1"/>
  <c r="L86" i="1"/>
  <c r="L87" i="1"/>
  <c r="L88" i="1"/>
  <c r="L89" i="1"/>
  <c r="L90" i="1"/>
  <c r="L93" i="1"/>
  <c r="L94" i="1"/>
  <c r="L95" i="1"/>
  <c r="L97" i="1"/>
  <c r="L83" i="1"/>
  <c r="L71" i="1"/>
  <c r="L72" i="1"/>
  <c r="L73" i="1"/>
  <c r="L74" i="1"/>
  <c r="L75" i="1"/>
  <c r="L76" i="1"/>
  <c r="L77" i="1"/>
  <c r="L79" i="1"/>
  <c r="L80" i="1"/>
  <c r="L81" i="1"/>
  <c r="L82" i="1"/>
  <c r="L70" i="1"/>
  <c r="L66" i="1"/>
  <c r="L67" i="1"/>
  <c r="L68" i="1"/>
  <c r="L69" i="1"/>
  <c r="L58" i="1"/>
  <c r="L59" i="1"/>
  <c r="L60" i="1"/>
  <c r="L61" i="1"/>
  <c r="L62" i="1"/>
  <c r="L63" i="1"/>
  <c r="L64" i="1"/>
  <c r="L65" i="1"/>
  <c r="L53" i="1"/>
  <c r="L41" i="1"/>
  <c r="L42" i="1"/>
  <c r="L43" i="1"/>
  <c r="L44" i="1"/>
  <c r="L45" i="1"/>
  <c r="L46" i="1"/>
  <c r="L47" i="1"/>
  <c r="L48" i="1"/>
  <c r="L49" i="1"/>
  <c r="L50" i="1"/>
  <c r="L51" i="1"/>
  <c r="L52" i="1"/>
  <c r="L54" i="1"/>
  <c r="L55" i="1"/>
  <c r="L56" i="1"/>
  <c r="L57" i="1"/>
  <c r="L40" i="1"/>
  <c r="L39" i="1"/>
  <c r="F724" i="1"/>
  <c r="L115" i="1"/>
  <c r="L113" i="1"/>
  <c r="L107" i="1"/>
  <c r="L108" i="1"/>
  <c r="L111" i="1"/>
  <c r="L114" i="1"/>
  <c r="L136" i="1"/>
  <c r="L104" i="1"/>
  <c r="L105" i="1"/>
  <c r="L106" i="1"/>
  <c r="L102" i="1"/>
  <c r="L103" i="1"/>
  <c r="H724" i="1" l="1"/>
  <c r="I726" i="1"/>
  <c r="I724" i="1"/>
  <c r="G724" i="1"/>
  <c r="L241" i="1"/>
  <c r="J726" i="1"/>
  <c r="G726" i="1"/>
  <c r="C726" i="1"/>
  <c r="F726" i="1"/>
  <c r="H726" i="1"/>
  <c r="C724" i="1"/>
  <c r="L91" i="1"/>
  <c r="L273" i="1"/>
  <c r="L171" i="1"/>
  <c r="L172" i="1"/>
  <c r="L173" i="1"/>
  <c r="L174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7" i="1"/>
  <c r="L198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6" i="1"/>
  <c r="L217" i="1"/>
  <c r="L218" i="1"/>
  <c r="L219" i="1"/>
  <c r="L221" i="1"/>
  <c r="L724" i="1" l="1"/>
  <c r="L13" i="1"/>
  <c r="L262" i="1"/>
  <c r="L263" i="1" l="1"/>
  <c r="L264" i="1"/>
  <c r="L265" i="1"/>
  <c r="L266" i="1"/>
  <c r="L267" i="1"/>
  <c r="L268" i="1"/>
  <c r="L727" i="1"/>
  <c r="L726" i="1" l="1"/>
  <c r="D38" i="8" l="1"/>
  <c r="G16" i="8"/>
  <c r="G25" i="8" s="1"/>
  <c r="G18" i="8"/>
  <c r="G27" i="8" s="1"/>
  <c r="D42" i="8"/>
  <c r="D41" i="8"/>
  <c r="D40" i="8"/>
  <c r="D39" i="8"/>
  <c r="D37" i="8"/>
  <c r="D36" i="8"/>
  <c r="D35" i="8"/>
  <c r="D34" i="8"/>
  <c r="D19" i="8"/>
  <c r="D28" i="8" s="1"/>
  <c r="F18" i="8"/>
  <c r="F27" i="8" s="1"/>
  <c r="E18" i="8"/>
  <c r="E27" i="8" s="1"/>
  <c r="D18" i="8"/>
  <c r="D27" i="8" s="1"/>
  <c r="C18" i="8"/>
  <c r="C27" i="8" s="1"/>
  <c r="B18" i="8"/>
  <c r="B27" i="8" s="1"/>
  <c r="D17" i="8"/>
  <c r="D26" i="8" s="1"/>
  <c r="E16" i="8"/>
  <c r="E25" i="8" s="1"/>
  <c r="D16" i="8"/>
  <c r="D25" i="8" s="1"/>
  <c r="C16" i="8"/>
  <c r="C25" i="8" s="1"/>
  <c r="G10" i="8"/>
  <c r="F10" i="8"/>
  <c r="E10" i="8"/>
  <c r="D10" i="8"/>
  <c r="C10" i="8"/>
  <c r="H9" i="8"/>
  <c r="G9" i="8"/>
  <c r="F9" i="8"/>
  <c r="E9" i="8"/>
  <c r="D9" i="8"/>
  <c r="C9" i="8"/>
  <c r="B9" i="8"/>
  <c r="H8" i="8"/>
  <c r="G8" i="8"/>
  <c r="F8" i="8"/>
  <c r="E8" i="8"/>
  <c r="D8" i="8"/>
  <c r="C8" i="8"/>
  <c r="B8" i="8"/>
  <c r="H7" i="8"/>
  <c r="G7" i="8"/>
  <c r="D7" i="8"/>
  <c r="H6" i="8"/>
  <c r="G6" i="8"/>
  <c r="F6" i="8"/>
  <c r="E6" i="8"/>
  <c r="D6" i="8"/>
  <c r="C6" i="8"/>
  <c r="B6" i="8"/>
  <c r="H5" i="8"/>
  <c r="G5" i="8"/>
  <c r="F5" i="8"/>
  <c r="E5" i="8"/>
  <c r="D5" i="8"/>
  <c r="C5" i="8"/>
  <c r="B5" i="8"/>
  <c r="E7" i="8" l="1"/>
  <c r="E11" i="8" s="1"/>
  <c r="G41" i="8" s="1"/>
  <c r="G17" i="8"/>
  <c r="G26" i="8" s="1"/>
  <c r="F7" i="8"/>
  <c r="F11" i="8" s="1"/>
  <c r="G42" i="8" s="1"/>
  <c r="F17" i="8"/>
  <c r="F26" i="8" s="1"/>
  <c r="F16" i="8"/>
  <c r="F25" i="8" s="1"/>
  <c r="H10" i="8"/>
  <c r="G38" i="8" s="1"/>
  <c r="E17" i="8"/>
  <c r="E26" i="8" s="1"/>
  <c r="C17" i="8"/>
  <c r="C26" i="8" s="1"/>
  <c r="B10" i="8"/>
  <c r="G19" i="8"/>
  <c r="G28" i="8" s="1"/>
  <c r="B17" i="8"/>
  <c r="B26" i="8" s="1"/>
  <c r="B16" i="8"/>
  <c r="B25" i="8" s="1"/>
  <c r="F19" i="8"/>
  <c r="F28" i="8" s="1"/>
  <c r="I8" i="8"/>
  <c r="D29" i="8"/>
  <c r="D11" i="8"/>
  <c r="G40" i="8" s="1"/>
  <c r="I6" i="8"/>
  <c r="I9" i="8"/>
  <c r="D20" i="8"/>
  <c r="I18" i="8"/>
  <c r="G11" i="8"/>
  <c r="I27" i="8"/>
  <c r="G36" i="8" s="1"/>
  <c r="I5" i="8"/>
  <c r="I25" i="8" l="1"/>
  <c r="G34" i="8" s="1"/>
  <c r="G29" i="8"/>
  <c r="H11" i="8"/>
  <c r="G20" i="8"/>
  <c r="F29" i="8"/>
  <c r="I10" i="8"/>
  <c r="I26" i="8"/>
  <c r="G35" i="8" s="1"/>
  <c r="I17" i="8"/>
  <c r="I16" i="8"/>
  <c r="F20" i="8"/>
  <c r="E19" i="8" l="1"/>
  <c r="E20" i="8" l="1"/>
  <c r="E28" i="8"/>
  <c r="E29" i="8" l="1"/>
  <c r="C7" i="8" l="1"/>
  <c r="C19" i="8"/>
  <c r="C20" i="8" l="1"/>
  <c r="C28" i="8"/>
  <c r="C11" i="8"/>
  <c r="G39" i="8" s="1"/>
  <c r="C29" i="8" l="1"/>
  <c r="I12" i="8" l="1"/>
  <c r="B7" i="8"/>
  <c r="I7" i="8" s="1"/>
  <c r="B19" i="8"/>
  <c r="B28" i="8" s="1"/>
  <c r="I11" i="8" l="1"/>
  <c r="I21" i="8" s="1"/>
  <c r="B20" i="8"/>
  <c r="I19" i="8"/>
  <c r="I20" i="8" s="1"/>
  <c r="B29" i="8"/>
  <c r="I28" i="8"/>
  <c r="I29" i="8" s="1"/>
  <c r="B11" i="8"/>
  <c r="G37" i="8" s="1"/>
  <c r="G4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auditeur</author>
    <author>Auditeur De Nuit</author>
  </authors>
  <commentList>
    <comment ref="C1" authorId="0" shapeId="0" xr:uid="{EA649577-91F8-4EFE-9616-C4EE0E0B4BF6}">
      <text>
        <r>
          <rPr>
            <b/>
            <sz val="8"/>
            <color indexed="81"/>
            <rFont val="Tahoma"/>
            <family val="2"/>
          </rPr>
          <t>auditeur:</t>
        </r>
        <r>
          <rPr>
            <sz val="8"/>
            <color indexed="81"/>
            <rFont val="Tahoma"/>
            <family val="2"/>
          </rPr>
          <t xml:space="preserve">
nourriture
jus
café
café latté
capissino
espresso
aqua panna
tisane
cocktail sans alcool</t>
        </r>
      </text>
    </comment>
    <comment ref="D1" authorId="0" shapeId="0" xr:uid="{DDB46455-1DDA-4E9A-A992-07A2CB492902}">
      <text>
        <r>
          <rPr>
            <b/>
            <sz val="8"/>
            <color indexed="81"/>
            <rFont val="Tahoma"/>
            <family val="2"/>
          </rPr>
          <t>auditeur:</t>
        </r>
        <r>
          <rPr>
            <sz val="8"/>
            <color indexed="81"/>
            <rFont val="Tahoma"/>
            <family val="2"/>
          </rPr>
          <t xml:space="preserve">
Bacardi / spritzer
alcool
spiritueux
cocktail
mix comportant de l'alcool</t>
        </r>
      </text>
    </comment>
    <comment ref="E1" authorId="0" shapeId="0" xr:uid="{D4580678-EEFC-4947-8801-1CA87BAB355A}">
      <text>
        <r>
          <rPr>
            <b/>
            <sz val="8"/>
            <color indexed="81"/>
            <rFont val="Tahoma"/>
            <family val="2"/>
          </rPr>
          <t>auditeur:</t>
        </r>
        <r>
          <rPr>
            <sz val="8"/>
            <color indexed="81"/>
            <rFont val="Tahoma"/>
            <family val="2"/>
          </rPr>
          <t xml:space="preserve">
bud / keiths / stella / bleu</t>
        </r>
      </text>
    </comment>
    <comment ref="F1" authorId="0" shapeId="0" xr:uid="{10D27EBC-A4BC-423D-8D4C-9A1FE9AE0D28}">
      <text>
        <r>
          <rPr>
            <b/>
            <sz val="8"/>
            <color indexed="81"/>
            <rFont val="Tahoma"/>
            <family val="2"/>
          </rPr>
          <t>auditeur:</t>
        </r>
        <r>
          <rPr>
            <sz val="8"/>
            <color indexed="81"/>
            <rFont val="Tahoma"/>
            <family val="2"/>
          </rPr>
          <t xml:space="preserve">
chivas regal / v merl / v. giorgio /
vin blanc
vin rouge
vin mousseux
champagne</t>
        </r>
      </text>
    </comment>
    <comment ref="G1" authorId="0" shapeId="0" xr:uid="{4FF1A780-42F1-43C1-99F3-C06370AE66BC}">
      <text>
        <r>
          <rPr>
            <b/>
            <sz val="8"/>
            <color indexed="81"/>
            <rFont val="Tahoma"/>
            <family val="2"/>
          </rPr>
          <t xml:space="preserve">auditeur: </t>
        </r>
        <r>
          <rPr>
            <sz val="8"/>
            <color indexed="81"/>
            <rFont val="Tahoma"/>
            <family val="2"/>
          </rPr>
          <t xml:space="preserve">(bulle sans alcool)
Perrier+liqueur
eau minéral
pellegrino
</t>
        </r>
      </text>
    </comment>
    <comment ref="H1" authorId="1" shapeId="0" xr:uid="{D3B5045C-1447-4EA2-B5D7-CBF37C2D8DB0}">
      <text>
        <r>
          <rPr>
            <b/>
            <sz val="9"/>
            <color indexed="81"/>
            <rFont val="Tahoma"/>
            <family val="2"/>
          </rPr>
          <t>Auditeur De Nuit:</t>
        </r>
        <r>
          <rPr>
            <sz val="9"/>
            <color indexed="81"/>
            <rFont val="Tahoma"/>
            <family val="2"/>
          </rPr>
          <t xml:space="preserve">
Toute ce qui est vendu à la SPESA</t>
        </r>
      </text>
    </comment>
    <comment ref="I1" authorId="1" shapeId="0" xr:uid="{241AFBB2-B94A-428A-B669-C6AEA6A60DA0}">
      <text>
        <r>
          <rPr>
            <b/>
            <sz val="9"/>
            <color indexed="81"/>
            <rFont val="Tahoma"/>
            <family val="2"/>
          </rPr>
          <t>Auditeur De Nuit:</t>
        </r>
        <r>
          <rPr>
            <sz val="9"/>
            <color indexed="81"/>
            <rFont val="Tahoma"/>
            <family val="2"/>
          </rPr>
          <t xml:space="preserve">
Tout ce qui n'est pas dans les autres catégories.</t>
        </r>
      </text>
    </comment>
  </commentList>
</comments>
</file>

<file path=xl/sharedStrings.xml><?xml version="1.0" encoding="utf-8"?>
<sst xmlns="http://schemas.openxmlformats.org/spreadsheetml/2006/main" count="1983" uniqueCount="481">
  <si>
    <t>raison</t>
  </si>
  <si>
    <t>Total</t>
  </si>
  <si>
    <t>Données</t>
  </si>
  <si>
    <t>Nourriture</t>
  </si>
  <si>
    <t>Boisson</t>
  </si>
  <si>
    <t>Biere</t>
  </si>
  <si>
    <t>Vin</t>
  </si>
  <si>
    <t>Autres</t>
  </si>
  <si>
    <t>Pourboire</t>
  </si>
  <si>
    <t>Paiement</t>
  </si>
  <si>
    <t>Aera</t>
  </si>
  <si>
    <t>Total Somme de Boisson</t>
  </si>
  <si>
    <t>Total Somme de Biere</t>
  </si>
  <si>
    <t>Total Somme de Vin</t>
  </si>
  <si>
    <t>Total Somme de Autres</t>
  </si>
  <si>
    <t>Total Somme de Pourboire</t>
  </si>
  <si>
    <t>14 - Administration</t>
  </si>
  <si>
    <t>15 - Promotion</t>
  </si>
  <si>
    <t>17 - Promesse serv.</t>
  </si>
  <si>
    <t>Cupola</t>
  </si>
  <si>
    <t>Piazza</t>
  </si>
  <si>
    <t>Banquet</t>
  </si>
  <si>
    <t>Serv Ch.</t>
  </si>
  <si>
    <t>Tabagie</t>
  </si>
  <si>
    <t>RAPPORT AJUSTEMENT HP POUR LE MOIS</t>
  </si>
  <si>
    <t>DEPARTEMENT</t>
  </si>
  <si>
    <t>NOURR</t>
  </si>
  <si>
    <t>BOISSON</t>
  </si>
  <si>
    <t>BIERE</t>
  </si>
  <si>
    <t>VIN</t>
  </si>
  <si>
    <t>MIN</t>
  </si>
  <si>
    <t>POURB</t>
  </si>
  <si>
    <t>TOTAL</t>
  </si>
  <si>
    <t>qui</t>
  </si>
  <si>
    <t>B/CC1</t>
  </si>
  <si>
    <t>C/CC2</t>
  </si>
  <si>
    <t>D/DESCRIPTION</t>
  </si>
  <si>
    <t>G/MONTANT</t>
  </si>
  <si>
    <t>F/SOURCE</t>
  </si>
  <si>
    <t>S-EJ52</t>
  </si>
  <si>
    <t>Distribution des ventes par département</t>
  </si>
  <si>
    <t>Somme des transactions (contrôle)</t>
  </si>
  <si>
    <t>Administartion (14)</t>
  </si>
  <si>
    <t>Promesse service</t>
  </si>
  <si>
    <t>Hotel promotion (15)</t>
  </si>
  <si>
    <t>Distribution des ventes par mode de paiement</t>
  </si>
  <si>
    <t>Distribution des ventes par mode de paiement au coûtant</t>
  </si>
  <si>
    <t>Musiciens</t>
  </si>
  <si>
    <t>19- Cie Affiliées</t>
  </si>
  <si>
    <t>Club Level</t>
  </si>
  <si>
    <t>A/GL (ligne 34)</t>
  </si>
  <si>
    <t>Rapport Quotidien des factures Hôtel Promotion</t>
  </si>
  <si>
    <t>500-Hot Rate</t>
  </si>
  <si>
    <t>50% Hot rate</t>
  </si>
  <si>
    <t>50% Hot Rate</t>
  </si>
  <si>
    <t xml:space="preserve"> </t>
  </si>
  <si>
    <t>Contrat banquet</t>
  </si>
  <si>
    <t>Autoriser Par</t>
  </si>
  <si>
    <t>Administration</t>
  </si>
  <si>
    <t>MOD</t>
  </si>
  <si>
    <t>Promotion</t>
  </si>
  <si>
    <t>Promesse</t>
  </si>
  <si>
    <t>Plaintes</t>
  </si>
  <si>
    <t>Hot Rate</t>
  </si>
  <si>
    <t>N. Dacosta</t>
  </si>
  <si>
    <t>S. Meunier</t>
  </si>
  <si>
    <t>Mineraux</t>
  </si>
  <si>
    <t>Total Somme de Mineraux</t>
  </si>
  <si>
    <t>E. Robidoux</t>
  </si>
  <si>
    <t>Club Lounge</t>
  </si>
  <si>
    <t>G. Tomanelli</t>
  </si>
  <si>
    <t>Y. Pazzi</t>
  </si>
  <si>
    <t>5 a 7</t>
  </si>
  <si>
    <t>A.E Frigon</t>
  </si>
  <si>
    <t>P.Bourbonnais</t>
  </si>
  <si>
    <t>Attention Speciale</t>
  </si>
  <si>
    <t>Lettre Promo</t>
  </si>
  <si>
    <t>Ventes</t>
  </si>
  <si>
    <t>Link</t>
  </si>
  <si>
    <t>Total 00</t>
  </si>
  <si>
    <t>A. Kasparian</t>
  </si>
  <si>
    <t>E. Mathieu</t>
  </si>
  <si>
    <t>J-P Pouliot</t>
  </si>
  <si>
    <t>TABAGIE</t>
  </si>
  <si>
    <t>S. Durocher</t>
  </si>
  <si>
    <t>D.Katsolis</t>
  </si>
  <si>
    <t>E. Archambault</t>
  </si>
  <si>
    <t>N. Cristancho</t>
  </si>
  <si>
    <t>L. Crevier</t>
  </si>
  <si>
    <t>F. Sacchetti</t>
  </si>
  <si>
    <t>R.Page</t>
  </si>
  <si>
    <t>E.Lungarini</t>
  </si>
  <si>
    <t>V.Veronneau</t>
  </si>
  <si>
    <t>J.Blanchard</t>
  </si>
  <si>
    <t>P.Doucet</t>
  </si>
  <si>
    <t>S.Doucet</t>
  </si>
  <si>
    <t>00</t>
  </si>
  <si>
    <t>Somme de Boisson</t>
  </si>
  <si>
    <t>Somme de Biere</t>
  </si>
  <si>
    <t>Somme de Mineraux</t>
  </si>
  <si>
    <t>Somme de Vin</t>
  </si>
  <si>
    <t>Somme de Autres</t>
  </si>
  <si>
    <t>Somme de Pourboire</t>
  </si>
  <si>
    <t>Somme de Total</t>
  </si>
  <si>
    <t>Total Somme de Total</t>
  </si>
  <si>
    <t>tage joue</t>
  </si>
  <si>
    <t>X</t>
  </si>
  <si>
    <t>Sum of Tabagie</t>
  </si>
  <si>
    <t>Total Sum of Tabagie</t>
  </si>
  <si>
    <t>ROULA</t>
  </si>
  <si>
    <t>THANEEKAN</t>
  </si>
  <si>
    <t>Mars 2026</t>
  </si>
  <si>
    <t>LES CHEFS</t>
  </si>
  <si>
    <t>REPAS MORGANE</t>
  </si>
  <si>
    <t>Date</t>
  </si>
  <si>
    <t>VIP POINT GRENIER</t>
  </si>
  <si>
    <t>VIP POINT LANZETTA</t>
  </si>
  <si>
    <t>VIP HR COSSETTE</t>
  </si>
  <si>
    <t>VIP HR CERE</t>
  </si>
  <si>
    <t>VIP POINT PATEL</t>
  </si>
  <si>
    <t>VIP POINT MALIK</t>
  </si>
  <si>
    <t>VIP POINT SOUIT</t>
  </si>
  <si>
    <t>VIP HR PAQUIN</t>
  </si>
  <si>
    <t>VIP HR GIROUX</t>
  </si>
  <si>
    <t>VIP POINT HARVEY</t>
  </si>
  <si>
    <t>VIP POINT LUYS</t>
  </si>
  <si>
    <t>VIP POINT LONGWRTH</t>
  </si>
  <si>
    <t>VIP AMBAS BERRIDGE</t>
  </si>
  <si>
    <t>TESTING ALCOBELLI</t>
  </si>
  <si>
    <t>IEA GLOBAL CONFERENCE</t>
  </si>
  <si>
    <t>VIP POINT</t>
  </si>
  <si>
    <t xml:space="preserve">VIP POINT </t>
  </si>
  <si>
    <t>NATALIA ANNIE EVE</t>
  </si>
  <si>
    <t>LUNCH JESSICA</t>
  </si>
  <si>
    <t>VIP PAQUIN ROOM 232</t>
  </si>
  <si>
    <t>VIP GRP LAFERRIERE</t>
  </si>
  <si>
    <t>VIP AMBAS AZZI ROOM 401</t>
  </si>
  <si>
    <t>VIP AMBAS AZZI ROOM 438</t>
  </si>
  <si>
    <t>VIP HR LAROUCHE</t>
  </si>
  <si>
    <t>VIP AMBAS FERREIRA</t>
  </si>
  <si>
    <t>VIP AMBAS RIDEOUT</t>
  </si>
  <si>
    <t>VIP HR WHEATLEY</t>
  </si>
  <si>
    <t>VIP HR GARNEAU</t>
  </si>
  <si>
    <t>VIP HR GROSSBARD</t>
  </si>
  <si>
    <t>PAQUIN 232</t>
  </si>
  <si>
    <t>ADMIN LUNCH</t>
  </si>
  <si>
    <t>MR DACOSTA</t>
  </si>
  <si>
    <t>PAT MAIORANO</t>
  </si>
  <si>
    <t>LUNCH GUYLAINE</t>
  </si>
  <si>
    <t>KHALIL</t>
  </si>
  <si>
    <t>MR BOURBONNAIS</t>
  </si>
  <si>
    <t>NIKOLETTA</t>
  </si>
  <si>
    <t>ROULA ISSA</t>
  </si>
  <si>
    <t>LUNCH MORGANE</t>
  </si>
  <si>
    <t>Khalil</t>
  </si>
  <si>
    <t>Khalil meal</t>
  </si>
  <si>
    <t>Repas auditeur</t>
  </si>
  <si>
    <t>Giovanni-Roula</t>
  </si>
  <si>
    <t>VIP Ambas Bitar arr 06-04</t>
  </si>
  <si>
    <t>VIP Young kid allergies R215</t>
  </si>
  <si>
    <t>a ne pas faire</t>
  </si>
  <si>
    <t>Club lounge</t>
  </si>
  <si>
    <t>HP</t>
  </si>
  <si>
    <t>giovanni 151</t>
  </si>
  <si>
    <t>mme fortin</t>
  </si>
  <si>
    <t>dan et vero</t>
  </si>
  <si>
    <t>Karina</t>
  </si>
  <si>
    <t>Jessica</t>
  </si>
  <si>
    <t>Giovanni Jessica</t>
  </si>
  <si>
    <t>Reception</t>
  </si>
  <si>
    <t>Machine Club lounge</t>
  </si>
  <si>
    <t>Musicienne</t>
  </si>
  <si>
    <t>LUNCH</t>
  </si>
  <si>
    <t>NELSON</t>
  </si>
  <si>
    <t>STAFF</t>
  </si>
  <si>
    <t>MEUNIER</t>
  </si>
  <si>
    <t>MACHINE LOUNGE BRISE</t>
  </si>
  <si>
    <t>HP RENDA</t>
  </si>
  <si>
    <t>CHRISTINE SAVOIE</t>
  </si>
  <si>
    <t>CLAUDIO ROSSI</t>
  </si>
  <si>
    <t>MUSICIENNE</t>
  </si>
  <si>
    <t>GINA OFFERT PAR GIOVANNI</t>
  </si>
  <si>
    <t>CHEF ERIC ROBIDOUX</t>
  </si>
  <si>
    <t>ED MINICOZZI</t>
  </si>
  <si>
    <t>MARTEL MAITRE</t>
  </si>
  <si>
    <t>OFFERED CARLO SCALZO</t>
  </si>
  <si>
    <t>CATHY MONTICELLO</t>
  </si>
  <si>
    <t>TONY ARCURSO</t>
  </si>
  <si>
    <t>PROMO VAL</t>
  </si>
  <si>
    <t>CLIENT VALENTIN</t>
  </si>
  <si>
    <t>VIP HR COLE ARR.07-04</t>
  </si>
  <si>
    <t>VIP HR GARNEAU ARR.07-04</t>
  </si>
  <si>
    <t>BIP HR WHEATLY ARR.07-04</t>
  </si>
  <si>
    <t>VIP HR GROSSBARD ARR.07-04</t>
  </si>
  <si>
    <t>VIP AMBAS FERREIRA ARR.07-04</t>
  </si>
  <si>
    <t>VIP AMBAS RIDEAI ARR.07-04</t>
  </si>
  <si>
    <t>VIP AMBAS DELCUCA ARR.08-04</t>
  </si>
  <si>
    <t>MELANIE PERREIRA</t>
  </si>
  <si>
    <t>DMN MANDY</t>
  </si>
  <si>
    <t>NATALIA</t>
  </si>
  <si>
    <t>GIOAVANNI</t>
  </si>
  <si>
    <t>VAL</t>
  </si>
  <si>
    <t>Melissa / Roula</t>
  </si>
  <si>
    <t>Thaneekan</t>
  </si>
  <si>
    <t>Nikoletta</t>
  </si>
  <si>
    <t>Repas Morgane M</t>
  </si>
  <si>
    <t>Stephane - Maintenance</t>
  </si>
  <si>
    <t>Jessica Charlebois</t>
  </si>
  <si>
    <t>Guylaine</t>
  </si>
  <si>
    <t>VIP Club member</t>
  </si>
  <si>
    <t>VIP Ambas Lennon</t>
  </si>
  <si>
    <t>VIP Ambas Royce</t>
  </si>
  <si>
    <t xml:space="preserve">VIP Point Thyriar </t>
  </si>
  <si>
    <t>VIP HR Fortier</t>
  </si>
  <si>
    <t>VIP HR Filabraut</t>
  </si>
  <si>
    <t>VIP HR Bergeron</t>
  </si>
  <si>
    <t>VIP HR Fogel</t>
  </si>
  <si>
    <t>VIP HR Codere</t>
  </si>
  <si>
    <t>VIP HR Barette</t>
  </si>
  <si>
    <t>VIP AMBS FED</t>
  </si>
  <si>
    <t>VIP Point Sahi</t>
  </si>
  <si>
    <t>VIP HR Brunelle</t>
  </si>
  <si>
    <t>VIP HR Montreuil</t>
  </si>
  <si>
    <t>VIP HR Darwish</t>
  </si>
  <si>
    <t>VIP HR Morancy</t>
  </si>
  <si>
    <t>VIP G5 room - Reco Ser</t>
  </si>
  <si>
    <t>VIP Sales Saint Pierre</t>
  </si>
  <si>
    <t>VIP Sales Roy R 639</t>
  </si>
  <si>
    <t>VVIP GUYLAINE SNACK</t>
  </si>
  <si>
    <t>NIKOLETTA ET LYDIA</t>
  </si>
  <si>
    <t>ADMINISTRATION</t>
  </si>
  <si>
    <t>VIP SALES CADAUX</t>
  </si>
  <si>
    <t>VIP SALES JOST</t>
  </si>
  <si>
    <t>VIP SALES CARPENTIER</t>
  </si>
  <si>
    <t>VIP SALES MARINHO</t>
  </si>
  <si>
    <t>VIP SALES TUTINO</t>
  </si>
  <si>
    <t>VIP SALES DESOR</t>
  </si>
  <si>
    <t>VIP HR KING</t>
  </si>
  <si>
    <t>VIP HR FROST</t>
  </si>
  <si>
    <t>VIP AMBAS HICKS</t>
  </si>
  <si>
    <t>VIP AMBAS ROYCE</t>
  </si>
  <si>
    <t>VIP HR CRABTREE</t>
  </si>
  <si>
    <t>VIP HR WARTHEN</t>
  </si>
  <si>
    <t>VIP HR ZHANG</t>
  </si>
  <si>
    <t>VIP POINT THEYS</t>
  </si>
  <si>
    <t>OK MORGANE</t>
  </si>
  <si>
    <t>CLUB LOUNGE</t>
  </si>
  <si>
    <t>VIP VLNG IVANOSKI</t>
  </si>
  <si>
    <t>SANTO EVOLUTION GYM</t>
  </si>
  <si>
    <t>ADMIN</t>
  </si>
  <si>
    <t>DINNER JESSICA, MORGANE NIKOLETTA</t>
  </si>
  <si>
    <t>RESTO -NADIA-SAPUTO</t>
  </si>
  <si>
    <t xml:space="preserve">KHALIL M </t>
  </si>
  <si>
    <t>MANDY LE</t>
  </si>
  <si>
    <t>GUYLAINE DEMPSEY</t>
  </si>
  <si>
    <t>MUSICIEN</t>
  </si>
  <si>
    <t>MME SAPUTO</t>
  </si>
  <si>
    <t>VIP VLNG HILLS ARR.10-04</t>
  </si>
  <si>
    <t>VIP HR BAPTISTE ARR.10-04</t>
  </si>
  <si>
    <t>VIP SALES COSETTE ARR.12-04</t>
  </si>
  <si>
    <t>VIP RELIG LIAR R.228</t>
  </si>
  <si>
    <t>VIP RELIG SANTOPADRE R.622</t>
  </si>
  <si>
    <t>VIP RELIG LAIBERTE R.234</t>
  </si>
  <si>
    <t>VIP RELIG SIAMRD R.326</t>
  </si>
  <si>
    <t>VIP RELIG GOUDREAUT R.240</t>
  </si>
  <si>
    <t>VIP RELIG BLANCO R.206</t>
  </si>
  <si>
    <t>VIP RELIG JARAMILLO R.345</t>
  </si>
  <si>
    <t>VIP RELIG SEITZ R.223</t>
  </si>
  <si>
    <t>VIP RELIG MENESEE R.220</t>
  </si>
  <si>
    <t>VIP RELIG FABRE R.221</t>
  </si>
  <si>
    <t>VIP RELIG BATAZZI R.224</t>
  </si>
  <si>
    <t>VIP RELIG STARK R.620</t>
  </si>
  <si>
    <t>VIP RELIG CORBETR.603</t>
  </si>
  <si>
    <t>VIP RELIG  CAHILL R.235</t>
  </si>
  <si>
    <t>VIP CARDINAL - RELIG R.232</t>
  </si>
  <si>
    <t>YULLS REUNION BEAUBONNET</t>
  </si>
  <si>
    <t>REPAS AUDITEUR</t>
  </si>
  <si>
    <t>AUDITEUR</t>
  </si>
  <si>
    <t>VIP SALES VENNEAU ARR.11-08</t>
  </si>
  <si>
    <t>VIP SALES GODIN ARR.11-04</t>
  </si>
  <si>
    <t>VIP POINT RACETTE ARRR.11-04</t>
  </si>
  <si>
    <t>VIP HR COSSETTE ARR.11-04</t>
  </si>
  <si>
    <t>VIP POINT DESROSIERS AR.11-04</t>
  </si>
  <si>
    <t>VIP POINNT DELSON ARR.11-04</t>
  </si>
  <si>
    <t>OFFERT FETE GROUPE</t>
  </si>
  <si>
    <t>VIM AMBAS VOLLANT ARR.11-04</t>
  </si>
  <si>
    <t>VIP HR PLOUFFE ARR.11-04</t>
  </si>
  <si>
    <t>VIP AMBAS BITAR ARR.13-004</t>
  </si>
  <si>
    <t>VIP HR SAVARD ARR11-04</t>
  </si>
  <si>
    <t>VUP HR BUSSIERE ARR.11-04</t>
  </si>
  <si>
    <t>VIP VLNG DICKEY ARR.04</t>
  </si>
  <si>
    <t>VIP AMBAS RPYCE ARR13-04</t>
  </si>
  <si>
    <t>MUSICIENS</t>
  </si>
  <si>
    <t>VIP VLNG TAILOR ARR.11-04</t>
  </si>
  <si>
    <t>ANTONIO</t>
  </si>
  <si>
    <t>MUSCIENNE</t>
  </si>
  <si>
    <t>ELITE AMBASSADEUR</t>
  </si>
  <si>
    <t>MORGANE</t>
  </si>
  <si>
    <t>DSD</t>
  </si>
  <si>
    <t>NELSON ET ROULA</t>
  </si>
  <si>
    <t>M.BELANGER</t>
  </si>
  <si>
    <t>OFFERT PAR NELSON</t>
  </si>
  <si>
    <t>NADIA</t>
  </si>
  <si>
    <t>CASADITALIA</t>
  </si>
  <si>
    <t>VIP VLNG GARETT ARR.14-04</t>
  </si>
  <si>
    <t>VIP VLNG HARRIS ARR.14-04</t>
  </si>
  <si>
    <t>VIP HE BANKS ARR.14-04</t>
  </si>
  <si>
    <t>VIP HR ORWIG ARR.14-04</t>
  </si>
  <si>
    <t>VIP POINT JACKSON ARR.14-04</t>
  </si>
  <si>
    <t>VIP HR KAMAL ARR.15-04</t>
  </si>
  <si>
    <t>VIP HR MICHEAL AEE.14-04</t>
  </si>
  <si>
    <t>VIP HR PASH ARR.15-04</t>
  </si>
  <si>
    <t>VIP HR LIU ARR.15-04</t>
  </si>
  <si>
    <t>VIP HR MOSHELLA ARR.05-04</t>
  </si>
  <si>
    <t>VIP SALES LAGACE ARR.15-04</t>
  </si>
  <si>
    <t>VIP SALES RODRIGUEZ ARR.15-04</t>
  </si>
  <si>
    <t>VIP SALES DUSFRESNE ARR.15-04</t>
  </si>
  <si>
    <t>VIP EXEC RODRIGUEX ARR.14-04</t>
  </si>
  <si>
    <t>VIP VENTE RAGBER ARR.14-04</t>
  </si>
  <si>
    <t>NATALIA MEETING</t>
  </si>
  <si>
    <t>NELSON MR MEUNIER</t>
  </si>
  <si>
    <t>LYDIA FRONT DESK</t>
  </si>
  <si>
    <t>VIP HR BOBEIL</t>
  </si>
  <si>
    <t>VIP HR JULIEN</t>
  </si>
  <si>
    <t>VIP HR SHELKOVYY</t>
  </si>
  <si>
    <t>VIP HR OCCONNOR</t>
  </si>
  <si>
    <t>VIP HR COUTEANCHE</t>
  </si>
  <si>
    <t>VIP HR THIBERT</t>
  </si>
  <si>
    <t xml:space="preserve"> VIP HR LIARD </t>
  </si>
  <si>
    <t xml:space="preserve"> VIP HR MELNYK</t>
  </si>
  <si>
    <t xml:space="preserve"> VIP HR AMON</t>
  </si>
  <si>
    <t xml:space="preserve"> VIP HR NILSSON</t>
  </si>
  <si>
    <t>VIP HR LAPOINTE</t>
  </si>
  <si>
    <t xml:space="preserve"> VIP HR LABELLE</t>
  </si>
  <si>
    <t xml:space="preserve"> VIP HR FLAMAND</t>
  </si>
  <si>
    <t xml:space="preserve"> VIP POINTS PISANO</t>
  </si>
  <si>
    <t>LIDIA ET NIKOLETA</t>
  </si>
  <si>
    <t xml:space="preserve"> ROULA MELISSA</t>
  </si>
  <si>
    <t>STAFF DRAGANA</t>
  </si>
  <si>
    <t>CHEF DAVE</t>
  </si>
  <si>
    <t>MORGANE ET NICOLETTA</t>
  </si>
  <si>
    <t>ROULA ET ANNIE-EVE</t>
  </si>
  <si>
    <t>JESSICA</t>
  </si>
  <si>
    <t>M.MEUNIER</t>
  </si>
  <si>
    <t>LYDIA</t>
  </si>
  <si>
    <t>CLARA RENCONTRE</t>
  </si>
  <si>
    <t>M. MEUNIER</t>
  </si>
  <si>
    <t>VIP BETTEZA</t>
  </si>
  <si>
    <t>VIP VLNG ALZOUGHBI</t>
  </si>
  <si>
    <t>VIP HR CAYA</t>
  </si>
  <si>
    <t>VIP EXEC CADIRI</t>
  </si>
  <si>
    <t>FOURNISSEUR MORGANE</t>
  </si>
  <si>
    <t>CLIENTE VIP</t>
  </si>
  <si>
    <t>MR FREZZA</t>
  </si>
  <si>
    <t>CHEF ERIC FUSTEL VAL</t>
  </si>
  <si>
    <t>NATHALIA</t>
  </si>
  <si>
    <t>VIP GROUP MEL R.439 ARR.18-04</t>
  </si>
  <si>
    <t>VIP VLNG BORIGA ARR.19-04</t>
  </si>
  <si>
    <t>VIP VLNG ADIMI ARR.1-04</t>
  </si>
  <si>
    <t>VIP VLNG MARIN ARR.19-04</t>
  </si>
  <si>
    <t>JESSICA POUR CLIENT</t>
  </si>
  <si>
    <t>VIP HRTOULIATOS ARR.17-04</t>
  </si>
  <si>
    <t>VIP VLNG PETERSEN ARR.19-04</t>
  </si>
  <si>
    <t>VIP HR LE TOURNEAU ARR.17-04</t>
  </si>
  <si>
    <t>VIP VLNG HUDAJ ARR.19-04</t>
  </si>
  <si>
    <t>VIP HR LAW ARR.20-04</t>
  </si>
  <si>
    <t>CLIENTE G5 OK GUYLAINE</t>
  </si>
  <si>
    <t>VIP HR LING ARR.19-04</t>
  </si>
  <si>
    <t>M BEAUBONNET ARR.17-04</t>
  </si>
  <si>
    <t>VIP HR COULOMBE</t>
  </si>
  <si>
    <t>VIP HR HUOT</t>
  </si>
  <si>
    <t>BOUCHENNI</t>
  </si>
  <si>
    <t>PAPIN</t>
  </si>
  <si>
    <t>MANDOZA</t>
  </si>
  <si>
    <t>BEAUDOIN</t>
  </si>
  <si>
    <t>LAVIGNE</t>
  </si>
  <si>
    <t>LEGAULT</t>
  </si>
  <si>
    <t>DUCARU</t>
  </si>
  <si>
    <t>KARINA</t>
  </si>
  <si>
    <t>STAFF MEAL</t>
  </si>
  <si>
    <t>PROMO CLIENT VAL</t>
  </si>
  <si>
    <t>SITUATION ALLERGIE</t>
  </si>
  <si>
    <t>REPAS GIO</t>
  </si>
  <si>
    <t>DRAGANA</t>
  </si>
  <si>
    <t>VALENTIN</t>
  </si>
  <si>
    <t>CLIENT VIP</t>
  </si>
  <si>
    <t>RENCONTRE VENTE</t>
  </si>
  <si>
    <t>ADIL</t>
  </si>
  <si>
    <t>LUNCH ROULA</t>
  </si>
  <si>
    <t>LUNCH NIKOLETTA</t>
  </si>
  <si>
    <t>MASSOTHERAPIE</t>
  </si>
  <si>
    <t>NELSON MEUNIER</t>
  </si>
  <si>
    <t>VIP SALES HENDRICK</t>
  </si>
  <si>
    <t>VIP SALES DELPECH</t>
  </si>
  <si>
    <t>VIP SALES TAYLOR</t>
  </si>
  <si>
    <t>VIP SALES CROWLEY</t>
  </si>
  <si>
    <t>VIP SALES HAELE</t>
  </si>
  <si>
    <t>VIP SALES HUDAJ</t>
  </si>
  <si>
    <t>OFFERT CLIENT MICHAEL  FREZZA</t>
  </si>
  <si>
    <t>VIP COSTCO DAIGNEAULT</t>
  </si>
  <si>
    <t>VIP VLNG BOYD</t>
  </si>
  <si>
    <t>VIP VLNG ION</t>
  </si>
  <si>
    <t>VIP VLNG CIPRAGA</t>
  </si>
  <si>
    <t>VIP VLNG TACHE</t>
  </si>
  <si>
    <t>VIP VLNG BLANSHAY</t>
  </si>
  <si>
    <t>VIP HR LESSARD</t>
  </si>
  <si>
    <t>VIP HR PUSTOWKA</t>
  </si>
  <si>
    <t>CAFÉ G1</t>
  </si>
  <si>
    <t>GIOVANNI</t>
  </si>
  <si>
    <t>MARIOTTE</t>
  </si>
  <si>
    <t>VIP SALES FULTON</t>
  </si>
  <si>
    <t>OFFERT GIOVANNI</t>
  </si>
  <si>
    <t>ANNIE EVE</t>
  </si>
  <si>
    <t>STEPHANE MERCIER</t>
  </si>
  <si>
    <t>MELISSA LANTEIGNE</t>
  </si>
  <si>
    <t>REPAS MORGANE ET LYDIA</t>
  </si>
  <si>
    <t>VIP POINT DEGROTTOLE</t>
  </si>
  <si>
    <t>VIIP POINT THAYER</t>
  </si>
  <si>
    <t>VIP HR LAROCQUE</t>
  </si>
  <si>
    <t>VIP POINT COULOMBE</t>
  </si>
  <si>
    <t>VIP HR BAGLEY</t>
  </si>
  <si>
    <t>VIP HR HANSENVOLT</t>
  </si>
  <si>
    <t>VIP HR BRADETTE</t>
  </si>
  <si>
    <t>VIP HR MENTOR</t>
  </si>
  <si>
    <t>VIP HR MARCO</t>
  </si>
  <si>
    <t>VIP HR GROULX</t>
  </si>
  <si>
    <t>VIP HR ST-PIERRE</t>
  </si>
  <si>
    <t>VIP HR BOUTIN</t>
  </si>
  <si>
    <t>VIP HR TREMBLAY</t>
  </si>
  <si>
    <t>VIP HR DESANTIS</t>
  </si>
  <si>
    <t>VIP AMBS ABCUNAS</t>
  </si>
  <si>
    <t>VIP AMBAS TINO</t>
  </si>
  <si>
    <t>VIP SALES ALOU</t>
  </si>
  <si>
    <t>VIP EXEC SIMS</t>
  </si>
  <si>
    <t>VIP EXEC FYN</t>
  </si>
  <si>
    <t>VIP EXEC HOGUE</t>
  </si>
  <si>
    <t>TASTING ST MAX</t>
  </si>
  <si>
    <t>TASTING LA CROISEE</t>
  </si>
  <si>
    <t>MR GENDRON</t>
  </si>
  <si>
    <t>HOGUE</t>
  </si>
  <si>
    <t>YVON</t>
  </si>
  <si>
    <t>GUYLAINE SOUPE</t>
  </si>
  <si>
    <t>DACOSTA</t>
  </si>
  <si>
    <t>TULI</t>
  </si>
  <si>
    <t>CUREANTOINE LABELLE</t>
  </si>
  <si>
    <t>CLIENT JS</t>
  </si>
  <si>
    <t>VIP HR DESROCHERS</t>
  </si>
  <si>
    <t>VIP HR GENDRON</t>
  </si>
  <si>
    <t>VIP HR PIVIN</t>
  </si>
  <si>
    <t>VIP POINT BOMANSUR</t>
  </si>
  <si>
    <t>VIP POINTS ROY</t>
  </si>
  <si>
    <t>VIP POINTS DESROCHERS</t>
  </si>
  <si>
    <t>VIP HR POITRAS</t>
  </si>
  <si>
    <t>VIP VLING M BALOWE</t>
  </si>
  <si>
    <t>VIP SALES RIOPEL</t>
  </si>
  <si>
    <t>VIP SALES RUSSEL</t>
  </si>
  <si>
    <t>VIP SALES RAYMOND</t>
  </si>
  <si>
    <t>VIP SALES JOHNSON</t>
  </si>
  <si>
    <t>VIP SALES BASNETT</t>
  </si>
  <si>
    <t>MR BOURBONAIS ET NELSON</t>
  </si>
  <si>
    <t>VIP HR PIERRE</t>
  </si>
  <si>
    <t>RIEN EN CUISINE, STAFF DRAGANA</t>
  </si>
  <si>
    <t>DOLCE SAPPOR</t>
  </si>
  <si>
    <t>GRATUITY CLIENT GIOVANNI</t>
  </si>
  <si>
    <t>VIP HR ARRATA</t>
  </si>
  <si>
    <t xml:space="preserve">VIP HR WONG </t>
  </si>
  <si>
    <t>VIP EXEC BASNETT</t>
  </si>
  <si>
    <t>VIP VLNG LOUINEAU</t>
  </si>
  <si>
    <t>VIP HR LECLERC</t>
  </si>
  <si>
    <t>VIP HR XIAO</t>
  </si>
  <si>
    <t>VIP HR BURDI</t>
  </si>
  <si>
    <t>VIP AMBAS GIKHER</t>
  </si>
  <si>
    <t>VIP HR BLASCO</t>
  </si>
  <si>
    <t>VIP HR NIERMANN</t>
  </si>
  <si>
    <t>VIP HR PRESCOTT</t>
  </si>
  <si>
    <t>VIP HR CORNER</t>
  </si>
  <si>
    <t>VIP HR KLEEMISS</t>
  </si>
  <si>
    <t>VIP HR NATH</t>
  </si>
  <si>
    <t>VIP HR KOHNSTANN</t>
  </si>
  <si>
    <t>CLIENTS DU RESTO - GIOVANNI</t>
  </si>
  <si>
    <t>VIP COBALT HALLIK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</si>
</sst>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[$€-1]_-;_-* #,##0.00\ [$€-1]\-;_-* &quot;-&quot;??\ [$€-1]_-"/>
  </numFmts>
  <fonts count="1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81">
    <xf numFmtId="0" fontId="0" fillId="0" borderId="0" xfId="0"/>
    <xf numFmtId="1" fontId="0" fillId="0" borderId="0" xfId="0" applyNumberFormat="1"/>
    <xf numFmtId="2" fontId="0" fillId="0" borderId="0" xfId="0" applyNumberFormat="1"/>
    <xf numFmtId="10" fontId="0" fillId="2" borderId="0" xfId="0" applyNumberFormat="1" applyFill="1" applyProtection="1">
      <protection locked="0"/>
    </xf>
    <xf numFmtId="1" fontId="3" fillId="0" borderId="1" xfId="0" applyNumberFormat="1" applyFont="1" applyBorder="1"/>
    <xf numFmtId="0" fontId="3" fillId="3" borderId="1" xfId="0" applyFont="1" applyFill="1" applyBorder="1" applyAlignment="1">
      <alignment horizontal="center"/>
    </xf>
    <xf numFmtId="1" fontId="0" fillId="0" borderId="2" xfId="0" applyNumberFormat="1" applyBorder="1"/>
    <xf numFmtId="1" fontId="0" fillId="0" borderId="3" xfId="0" applyNumberFormat="1" applyBorder="1"/>
    <xf numFmtId="1" fontId="0" fillId="0" borderId="4" xfId="0" applyNumberFormat="1" applyBorder="1"/>
    <xf numFmtId="0" fontId="4" fillId="0" borderId="0" xfId="0" applyFont="1"/>
    <xf numFmtId="0" fontId="4" fillId="0" borderId="0" xfId="0" applyFont="1" applyProtection="1">
      <protection locked="0"/>
    </xf>
    <xf numFmtId="1" fontId="4" fillId="0" borderId="0" xfId="0" applyNumberFormat="1" applyFont="1"/>
    <xf numFmtId="1" fontId="4" fillId="0" borderId="0" xfId="0" applyNumberFormat="1" applyFont="1" applyProtection="1">
      <protection locked="0"/>
    </xf>
    <xf numFmtId="1" fontId="5" fillId="0" borderId="0" xfId="0" applyNumberFormat="1" applyFont="1"/>
    <xf numFmtId="0" fontId="6" fillId="0" borderId="0" xfId="0" applyFont="1"/>
    <xf numFmtId="17" fontId="0" fillId="0" borderId="0" xfId="0" applyNumberFormat="1"/>
    <xf numFmtId="0" fontId="2" fillId="0" borderId="0" xfId="0" applyFont="1"/>
    <xf numFmtId="0" fontId="1" fillId="0" borderId="0" xfId="0" applyFont="1"/>
    <xf numFmtId="0" fontId="9" fillId="0" borderId="0" xfId="0" applyFont="1"/>
    <xf numFmtId="0" fontId="11" fillId="0" borderId="0" xfId="0" applyFont="1"/>
    <xf numFmtId="1" fontId="11" fillId="0" borderId="0" xfId="0" applyNumberFormat="1" applyFont="1"/>
    <xf numFmtId="2" fontId="11" fillId="0" borderId="0" xfId="0" applyNumberFormat="1" applyFont="1"/>
    <xf numFmtId="1" fontId="11" fillId="0" borderId="1" xfId="0" applyNumberFormat="1" applyFont="1" applyBorder="1" applyAlignment="1" applyProtection="1">
      <alignment horizontal="center"/>
      <protection locked="0"/>
    </xf>
    <xf numFmtId="2" fontId="11" fillId="0" borderId="1" xfId="0" applyNumberFormat="1" applyFont="1" applyBorder="1" applyAlignment="1" applyProtection="1">
      <alignment horizontal="center"/>
      <protection locked="0"/>
    </xf>
    <xf numFmtId="1" fontId="11" fillId="0" borderId="1" xfId="0" applyNumberFormat="1" applyFont="1" applyBorder="1" applyProtection="1"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2" fontId="11" fillId="4" borderId="0" xfId="0" applyNumberFormat="1" applyFont="1" applyFill="1"/>
    <xf numFmtId="1" fontId="11" fillId="4" borderId="0" xfId="0" applyNumberFormat="1" applyFont="1" applyFill="1"/>
    <xf numFmtId="0" fontId="0" fillId="0" borderId="0" xfId="0" quotePrefix="1"/>
    <xf numFmtId="17" fontId="1" fillId="0" borderId="0" xfId="0" quotePrefix="1" applyNumberFormat="1" applyFont="1"/>
    <xf numFmtId="0" fontId="1" fillId="0" borderId="0" xfId="0" quotePrefix="1" applyFont="1"/>
    <xf numFmtId="2" fontId="4" fillId="0" borderId="1" xfId="0" applyNumberFormat="1" applyFont="1" applyBorder="1" applyAlignment="1" applyProtection="1">
      <alignment horizontal="center"/>
      <protection locked="0"/>
    </xf>
    <xf numFmtId="43" fontId="11" fillId="0" borderId="0" xfId="2" applyFont="1" applyAlignment="1">
      <alignment horizontal="right"/>
    </xf>
    <xf numFmtId="43" fontId="11" fillId="0" borderId="1" xfId="2" applyFont="1" applyBorder="1" applyProtection="1">
      <protection locked="0"/>
    </xf>
    <xf numFmtId="43" fontId="4" fillId="0" borderId="0" xfId="2" applyFont="1" applyAlignment="1">
      <alignment horizontal="right"/>
    </xf>
    <xf numFmtId="43" fontId="11" fillId="4" borderId="0" xfId="2" applyFont="1" applyFill="1"/>
    <xf numFmtId="43" fontId="0" fillId="0" borderId="2" xfId="2" applyFont="1" applyBorder="1"/>
    <xf numFmtId="43" fontId="0" fillId="0" borderId="3" xfId="2" applyFont="1" applyBorder="1"/>
    <xf numFmtId="43" fontId="0" fillId="0" borderId="4" xfId="2" applyFont="1" applyBorder="1"/>
    <xf numFmtId="43" fontId="3" fillId="0" borderId="1" xfId="2" applyFont="1" applyBorder="1"/>
    <xf numFmtId="43" fontId="0" fillId="0" borderId="1" xfId="2" applyFont="1" applyBorder="1"/>
    <xf numFmtId="43" fontId="0" fillId="0" borderId="0" xfId="2" applyFont="1"/>
    <xf numFmtId="1" fontId="4" fillId="4" borderId="0" xfId="0" applyNumberFormat="1" applyFont="1" applyFill="1"/>
    <xf numFmtId="43" fontId="1" fillId="0" borderId="0" xfId="2" applyFont="1"/>
    <xf numFmtId="2" fontId="4" fillId="4" borderId="0" xfId="0" applyNumberFormat="1" applyFont="1" applyFill="1"/>
    <xf numFmtId="43" fontId="4" fillId="0" borderId="0" xfId="0" applyNumberFormat="1" applyFont="1"/>
    <xf numFmtId="14" fontId="4" fillId="0" borderId="1" xfId="0" applyNumberFormat="1" applyFont="1" applyBorder="1" applyProtection="1">
      <protection locked="0"/>
    </xf>
    <xf numFmtId="43" fontId="4" fillId="0" borderId="0" xfId="2" applyFont="1" applyFill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6" xfId="0" pivotButton="1" applyBorder="1"/>
    <xf numFmtId="0" fontId="0" fillId="0" borderId="9" xfId="0" applyBorder="1"/>
    <xf numFmtId="0" fontId="0" fillId="0" borderId="10" xfId="0" applyBorder="1"/>
    <xf numFmtId="0" fontId="0" fillId="0" borderId="11" xfId="0" pivotButton="1" applyBorder="1"/>
    <xf numFmtId="0" fontId="0" fillId="0" borderId="14" xfId="0" applyBorder="1"/>
    <xf numFmtId="0" fontId="0" fillId="0" borderId="15" xfId="0" applyBorder="1"/>
    <xf numFmtId="0" fontId="0" fillId="0" borderId="11" xfId="0" applyBorder="1" applyAlignment="1">
      <alignment horizontal="left"/>
    </xf>
    <xf numFmtId="0" fontId="3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0" fillId="0" borderId="6" xfId="0" applyNumberFormat="1" applyFont="1" applyBorder="1"/>
    <xf numFmtId="43" fontId="0" fillId="0" borderId="13" xfId="0" applyNumberFormat="1" applyFont="1" applyBorder="1"/>
    <xf numFmtId="43" fontId="0" fillId="6" borderId="8" xfId="0" applyNumberFormat="1" applyFont="1" applyFill="1" applyBorder="1"/>
    <xf numFmtId="43" fontId="0" fillId="0" borderId="15" xfId="0" applyNumberFormat="1" applyFont="1" applyBorder="1"/>
    <xf numFmtId="43" fontId="0" fillId="0" borderId="0" xfId="0" applyNumberFormat="1" applyFont="1"/>
    <xf numFmtId="43" fontId="0" fillId="0" borderId="16" xfId="0" applyNumberFormat="1" applyFont="1" applyBorder="1"/>
    <xf numFmtId="43" fontId="0" fillId="6" borderId="16" xfId="0" applyNumberFormat="1" applyFont="1" applyFill="1" applyBorder="1"/>
    <xf numFmtId="43" fontId="0" fillId="0" borderId="8" xfId="0" applyNumberFormat="1" applyFont="1" applyBorder="1"/>
    <xf numFmtId="43" fontId="0" fillId="5" borderId="6" xfId="0" applyNumberFormat="1" applyFont="1" applyFill="1" applyBorder="1"/>
    <xf numFmtId="43" fontId="0" fillId="5" borderId="13" xfId="0" applyNumberFormat="1" applyFont="1" applyFill="1" applyBorder="1"/>
    <xf numFmtId="43" fontId="0" fillId="0" borderId="9" xfId="0" applyNumberFormat="1" applyFont="1" applyBorder="1"/>
    <xf numFmtId="43" fontId="0" fillId="0" borderId="17" xfId="0" applyNumberFormat="1" applyFont="1" applyBorder="1"/>
    <xf numFmtId="43" fontId="0" fillId="0" borderId="11" xfId="0" applyNumberFormat="1" applyFont="1" applyBorder="1"/>
    <xf numFmtId="0" fontId="0" fillId="0" borderId="6" xfId="0" pivotButton="1" applyFont="1" applyBorder="1"/>
    <xf numFmtId="0" fontId="0" fillId="0" borderId="7" xfId="0" applyFont="1" applyBorder="1"/>
    <xf numFmtId="0" fontId="0" fillId="0" borderId="12" xfId="0" applyFont="1" applyBorder="1"/>
    <xf numFmtId="0" fontId="0" fillId="0" borderId="6" xfId="0" applyFont="1" applyBorder="1"/>
    <xf numFmtId="0" fontId="0" fillId="0" borderId="13" xfId="0" applyFont="1" applyBorder="1"/>
    <xf numFmtId="0" fontId="0" fillId="0" borderId="8" xfId="0" applyFont="1" applyBorder="1" applyAlignment="1">
      <alignment horizontal="center"/>
    </xf>
  </cellXfs>
  <cellStyles count="3">
    <cellStyle name="Euro" xfId="1" xr:uid="{00000000-0005-0000-0000-000000000000}"/>
    <cellStyle name="Milliers" xfId="2" builtinId="3"/>
    <cellStyle name="Normal" xfId="0" builtinId="0"/>
  </cellStyles>
  <dxfs count="125">
    <dxf>
      <alignment horizontal="center" readingOrder="0"/>
    </dxf>
    <dxf>
      <fill>
        <patternFill patternType="solid">
          <bgColor indexed="41"/>
        </patternFill>
      </fill>
    </dxf>
    <dxf>
      <fill>
        <patternFill>
          <bgColor indexed="13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numFmt numFmtId="2" formatCode="0.00"/>
    </dxf>
    <dxf>
      <font>
        <color indexed="10"/>
      </font>
    </dxf>
    <dxf>
      <numFmt numFmtId="35" formatCode="_(* #,##0.00_);_(* \(#,##0.00\);_(* &quot;-&quot;??_);_(@_)"/>
    </dxf>
    <dxf>
      <protection locked="1"/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00FFFF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horizontal="center" readingOrder="0"/>
    </dxf>
    <dxf>
      <fill>
        <patternFill patternType="solid">
          <bgColor indexed="41"/>
        </patternFill>
      </fill>
    </dxf>
    <dxf>
      <fill>
        <patternFill>
          <bgColor indexed="13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numFmt numFmtId="2" formatCode="0.00"/>
    </dxf>
    <dxf>
      <font>
        <color indexed="10"/>
      </font>
    </dxf>
    <dxf>
      <numFmt numFmtId="35" formatCode="_(* #,##0.00_);_(* \(#,##0.00\);_(* &quot;-&quot;??_);_(@_)"/>
    </dxf>
    <dxf>
      <protection locked="1"/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00FFFF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horizontal="center" readingOrder="0"/>
    </dxf>
    <dxf>
      <fill>
        <patternFill patternType="solid">
          <bgColor indexed="41"/>
        </patternFill>
      </fill>
    </dxf>
    <dxf>
      <fill>
        <patternFill>
          <bgColor indexed="13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numFmt numFmtId="2" formatCode="0.00"/>
    </dxf>
    <dxf>
      <font>
        <color indexed="10"/>
      </font>
    </dxf>
    <dxf>
      <numFmt numFmtId="35" formatCode="_(* #,##0.00_);_(* \(#,##0.00\);_(* &quot;-&quot;??_);_(@_)"/>
    </dxf>
    <dxf>
      <protection locked="1"/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00FFFF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horizontal="center" readingOrder="0"/>
    </dxf>
    <dxf>
      <fill>
        <patternFill patternType="solid">
          <bgColor indexed="41"/>
        </patternFill>
      </fill>
    </dxf>
    <dxf>
      <fill>
        <patternFill>
          <bgColor indexed="13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numFmt numFmtId="2" formatCode="0.00"/>
    </dxf>
    <dxf>
      <font>
        <color indexed="10"/>
      </font>
    </dxf>
    <dxf>
      <numFmt numFmtId="35" formatCode="_(* #,##0.00_);_(* \(#,##0.00\);_(* &quot;-&quot;??_);_(@_)"/>
    </dxf>
    <dxf>
      <protection locked="1"/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00FFFF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bgColor rgb="FF00FFFF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protection locked="1"/>
    </dxf>
    <dxf>
      <numFmt numFmtId="35" formatCode="_(* #,##0.00_);_(* \(#,##0.00\);_(* &quot;-&quot;??_);_(@_)"/>
    </dxf>
    <dxf>
      <font>
        <color indexed="10"/>
      </font>
    </dxf>
    <dxf>
      <numFmt numFmtId="2" formatCode="0.00"/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>
          <bgColor indexed="13"/>
        </patternFill>
      </fill>
    </dxf>
    <dxf>
      <fill>
        <patternFill patternType="solid">
          <bgColor indexed="41"/>
        </patternFill>
      </fill>
    </dxf>
    <dxf>
      <alignment horizontal="center" readingOrder="0"/>
    </dxf>
  </dxfs>
  <tableStyles count="0" defaultTableStyle="TableStyleMedium9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diteur De Nuit" refreshedDate="46137.156016319444" createdVersion="5" refreshedVersion="8" minRefreshableVersion="3" recordCount="675" xr:uid="{00000000-000A-0000-FFFF-FFFF01000000}">
  <cacheSource type="worksheet">
    <worksheetSource name="_xlnm.Database"/>
  </cacheSource>
  <cacheFields count="15">
    <cacheField name="Date" numFmtId="0">
      <sharedItems containsString="0" containsBlank="1" containsNumber="1" containsInteger="1" minValue="1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m/>
        <n v="25" u="1"/>
        <n v="26" u="1"/>
        <n v="27" u="1"/>
        <n v="28" u="1"/>
        <n v="29" u="1"/>
        <n v="30" u="1"/>
        <n v="31" u="1"/>
      </sharedItems>
    </cacheField>
    <cacheField name="Aera" numFmtId="1">
      <sharedItems containsBlank="1" count="8">
        <s v="Tabagie"/>
        <s v="Piazza"/>
        <m/>
        <s v="Serv Ch." u="1"/>
        <s v="Banquet" u="1"/>
        <s v="Club Lounge" u="1"/>
        <s v="Link" u="1"/>
        <s v="Cupola" u="1"/>
      </sharedItems>
    </cacheField>
    <cacheField name="Nourriture" numFmtId="0">
      <sharedItems containsString="0" containsBlank="1" containsNumber="1" minValue="2" maxValue="1113"/>
    </cacheField>
    <cacheField name="Boisson" numFmtId="0">
      <sharedItems containsString="0" containsBlank="1" containsNumber="1" minValue="7" maxValue="294.5"/>
    </cacheField>
    <cacheField name="Biere" numFmtId="0">
      <sharedItems containsString="0" containsBlank="1" containsNumber="1" containsInteger="1" minValue="9" maxValue="22"/>
    </cacheField>
    <cacheField name="Vin" numFmtId="0">
      <sharedItems containsString="0" containsBlank="1" containsNumber="1" containsInteger="1" minValue="14" maxValue="394"/>
    </cacheField>
    <cacheField name="Mineraux" numFmtId="0">
      <sharedItems containsString="0" containsBlank="1" containsNumber="1" minValue="4.25" maxValue="46.5"/>
    </cacheField>
    <cacheField name="Tabagie" numFmtId="0">
      <sharedItems containsString="0" containsBlank="1" containsNumber="1" minValue="2.5" maxValue="112.92000000000002"/>
    </cacheField>
    <cacheField name="Autres" numFmtId="0">
      <sharedItems containsNonDate="0" containsString="0" containsBlank="1"/>
    </cacheField>
    <cacheField name="Pourboire" numFmtId="0">
      <sharedItems containsString="0" containsBlank="1" containsNumber="1" minValue="0.45" maxValue="198.15"/>
    </cacheField>
    <cacheField name="Paiement" numFmtId="1">
      <sharedItems containsBlank="1" count="22">
        <s v="15 - Promotion"/>
        <s v="14 - Administration"/>
        <m/>
        <s v="15 - Administration" u="1"/>
        <s v="16 - Promotion" u="1"/>
        <s v="17 - Promotion" u="1"/>
        <s v="16 - Administration" u="1"/>
        <s v="21 - Promotion" u="1"/>
        <s v="22 - Promotion" u="1"/>
        <s v="18 - Promotion" u="1"/>
        <s v="19 - Promotion" u="1"/>
        <s v="20 - Promotion" u="1"/>
        <s v="23 - Promotion" u="1"/>
        <s v="17 - Administration" u="1"/>
        <s v="18 - Administration" u="1"/>
        <s v="19 - Administration" u="1"/>
        <s v="20 - Administration" u="1"/>
        <s v="21 - Administration" u="1"/>
        <s v="22 - Administration" u="1"/>
        <s v="Administration" u="1"/>
        <s v="ADMIN" u="1"/>
        <s v="17 - Promesse serv." u="1"/>
      </sharedItems>
    </cacheField>
    <cacheField name="Total" numFmtId="43">
      <sharedItems containsSemiMixedTypes="0" containsString="0" containsNumber="1" minValue="0" maxValue="175.95"/>
    </cacheField>
    <cacheField name="raison" numFmtId="0">
      <sharedItems containsBlank="1"/>
    </cacheField>
    <cacheField name="qui" numFmtId="0">
      <sharedItems containsBlank="1"/>
    </cacheField>
    <cacheField name="Autoriser Pa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5">
  <r>
    <x v="0"/>
    <x v="0"/>
    <m/>
    <m/>
    <m/>
    <m/>
    <m/>
    <n v="6.95"/>
    <m/>
    <m/>
    <x v="0"/>
    <n v="0"/>
    <s v="Promotion"/>
    <s v="VIP POINT GRENIER"/>
    <m/>
  </r>
  <r>
    <x v="0"/>
    <x v="0"/>
    <m/>
    <m/>
    <m/>
    <m/>
    <m/>
    <n v="6.95"/>
    <m/>
    <m/>
    <x v="0"/>
    <n v="0"/>
    <s v="Promotion"/>
    <s v="VIP POINT LANZETTA"/>
    <m/>
  </r>
  <r>
    <x v="0"/>
    <x v="0"/>
    <m/>
    <m/>
    <m/>
    <m/>
    <m/>
    <n v="6.95"/>
    <m/>
    <m/>
    <x v="0"/>
    <n v="0"/>
    <s v="Promotion"/>
    <s v="VIP HR COSSETTE"/>
    <m/>
  </r>
  <r>
    <x v="0"/>
    <x v="0"/>
    <m/>
    <m/>
    <m/>
    <m/>
    <m/>
    <n v="6.95"/>
    <m/>
    <m/>
    <x v="0"/>
    <n v="0"/>
    <s v="Promotion"/>
    <s v="VIP HR CERE"/>
    <m/>
  </r>
  <r>
    <x v="0"/>
    <x v="0"/>
    <m/>
    <m/>
    <m/>
    <m/>
    <m/>
    <n v="6.95"/>
    <m/>
    <m/>
    <x v="0"/>
    <n v="0"/>
    <s v="Promotion"/>
    <s v="VIP POINT PATEL"/>
    <m/>
  </r>
  <r>
    <x v="0"/>
    <x v="0"/>
    <m/>
    <m/>
    <m/>
    <m/>
    <m/>
    <n v="6.95"/>
    <m/>
    <m/>
    <x v="0"/>
    <n v="0"/>
    <s v="Promotion"/>
    <s v="VIP POINT MALIK"/>
    <m/>
  </r>
  <r>
    <x v="0"/>
    <x v="0"/>
    <m/>
    <m/>
    <m/>
    <m/>
    <m/>
    <n v="6.95"/>
    <m/>
    <m/>
    <x v="0"/>
    <n v="0"/>
    <s v="Promotion"/>
    <s v="VIP POINT SOUIT"/>
    <m/>
  </r>
  <r>
    <x v="0"/>
    <x v="0"/>
    <m/>
    <m/>
    <m/>
    <m/>
    <m/>
    <n v="6.95"/>
    <m/>
    <m/>
    <x v="0"/>
    <n v="0"/>
    <s v="Promotion"/>
    <s v="VIP HR PAQUIN"/>
    <m/>
  </r>
  <r>
    <x v="0"/>
    <x v="0"/>
    <m/>
    <m/>
    <m/>
    <m/>
    <m/>
    <n v="6.95"/>
    <m/>
    <m/>
    <x v="0"/>
    <n v="0"/>
    <s v="Promotion"/>
    <s v="VIP HR GIROUX"/>
    <m/>
  </r>
  <r>
    <x v="0"/>
    <x v="0"/>
    <m/>
    <m/>
    <m/>
    <m/>
    <m/>
    <n v="6.95"/>
    <m/>
    <m/>
    <x v="0"/>
    <n v="0"/>
    <s v="Promotion"/>
    <s v="VIP POINT "/>
    <m/>
  </r>
  <r>
    <x v="0"/>
    <x v="0"/>
    <m/>
    <m/>
    <m/>
    <m/>
    <m/>
    <n v="6.95"/>
    <m/>
    <m/>
    <x v="0"/>
    <n v="0"/>
    <s v="Promotion"/>
    <s v="VIP POINT"/>
    <m/>
  </r>
  <r>
    <x v="0"/>
    <x v="0"/>
    <m/>
    <m/>
    <m/>
    <m/>
    <m/>
    <n v="6.95"/>
    <m/>
    <m/>
    <x v="0"/>
    <n v="0"/>
    <s v="Promotion"/>
    <s v="VIP POINT HARVEY"/>
    <m/>
  </r>
  <r>
    <x v="0"/>
    <x v="0"/>
    <m/>
    <m/>
    <m/>
    <m/>
    <m/>
    <n v="6.95"/>
    <m/>
    <m/>
    <x v="0"/>
    <n v="0"/>
    <s v="Promotion"/>
    <s v="VIP POINT LUYS"/>
    <m/>
  </r>
  <r>
    <x v="0"/>
    <x v="0"/>
    <m/>
    <m/>
    <m/>
    <m/>
    <m/>
    <n v="6.95"/>
    <m/>
    <m/>
    <x v="0"/>
    <n v="0"/>
    <s v="Promotion"/>
    <s v="VIP POINT "/>
    <m/>
  </r>
  <r>
    <x v="0"/>
    <x v="0"/>
    <m/>
    <m/>
    <m/>
    <m/>
    <m/>
    <n v="6.95"/>
    <m/>
    <n v="10"/>
    <x v="0"/>
    <n v="0"/>
    <s v="Promotion"/>
    <s v="VIP POINT LONGWRTH"/>
    <m/>
  </r>
  <r>
    <x v="0"/>
    <x v="0"/>
    <m/>
    <m/>
    <m/>
    <m/>
    <m/>
    <n v="19.989999999999998"/>
    <m/>
    <m/>
    <x v="0"/>
    <n v="0"/>
    <s v="Promotion"/>
    <s v="VIP AMBAS BERRIDGE"/>
    <m/>
  </r>
  <r>
    <x v="0"/>
    <x v="1"/>
    <n v="540"/>
    <m/>
    <m/>
    <n v="126"/>
    <m/>
    <m/>
    <m/>
    <n v="99.9"/>
    <x v="0"/>
    <n v="0"/>
    <s v="Promotion"/>
    <s v="TESTING ALCOBELLI"/>
    <m/>
  </r>
  <r>
    <x v="0"/>
    <x v="1"/>
    <n v="303"/>
    <n v="15"/>
    <n v="13"/>
    <m/>
    <m/>
    <n v="28"/>
    <m/>
    <n v="53.85"/>
    <x v="0"/>
    <n v="0"/>
    <s v="Promotion"/>
    <s v="IEA GLOBAL CONFERENCE"/>
    <m/>
  </r>
  <r>
    <x v="0"/>
    <x v="1"/>
    <n v="90"/>
    <m/>
    <m/>
    <m/>
    <n v="14"/>
    <m/>
    <m/>
    <n v="12.48"/>
    <x v="1"/>
    <n v="0"/>
    <s v="Administration"/>
    <s v="NATALIA ANNIE EVE"/>
    <m/>
  </r>
  <r>
    <x v="0"/>
    <x v="0"/>
    <n v="19.95"/>
    <m/>
    <m/>
    <m/>
    <m/>
    <n v="4.25"/>
    <m/>
    <n v="3.63"/>
    <x v="1"/>
    <n v="0"/>
    <m/>
    <s v="LUNCH JESSICA"/>
    <m/>
  </r>
  <r>
    <x v="0"/>
    <x v="1"/>
    <n v="20.95"/>
    <m/>
    <m/>
    <m/>
    <m/>
    <m/>
    <m/>
    <n v="3.14"/>
    <x v="1"/>
    <n v="0"/>
    <m/>
    <s v="ROULA"/>
    <m/>
  </r>
  <r>
    <x v="0"/>
    <x v="1"/>
    <n v="41.9"/>
    <m/>
    <m/>
    <m/>
    <m/>
    <n v="4.25"/>
    <m/>
    <n v="6.92"/>
    <x v="1"/>
    <n v="0"/>
    <m/>
    <s v="THANEEKAN"/>
    <m/>
  </r>
  <r>
    <x v="0"/>
    <x v="1"/>
    <n v="17.95"/>
    <m/>
    <m/>
    <m/>
    <m/>
    <m/>
    <m/>
    <n v="2.64"/>
    <x v="1"/>
    <n v="0"/>
    <m/>
    <s v="REPAS MORGANE"/>
    <m/>
  </r>
  <r>
    <x v="0"/>
    <x v="1"/>
    <n v="14.25"/>
    <m/>
    <m/>
    <m/>
    <m/>
    <m/>
    <m/>
    <n v="1.7"/>
    <x v="1"/>
    <n v="0"/>
    <m/>
    <s v="LES CHEFS"/>
    <m/>
  </r>
  <r>
    <x v="0"/>
    <x v="1"/>
    <n v="19"/>
    <m/>
    <m/>
    <m/>
    <m/>
    <m/>
    <m/>
    <n v="2.2999999999999998"/>
    <x v="1"/>
    <n v="0"/>
    <m/>
    <s v="LES CHEFS"/>
    <m/>
  </r>
  <r>
    <x v="0"/>
    <x v="1"/>
    <n v="6"/>
    <m/>
    <m/>
    <m/>
    <m/>
    <m/>
    <m/>
    <n v="0.9"/>
    <x v="1"/>
    <n v="0"/>
    <m/>
    <s v="LES CHEFS"/>
    <m/>
  </r>
  <r>
    <x v="1"/>
    <x v="0"/>
    <m/>
    <m/>
    <m/>
    <m/>
    <m/>
    <n v="24"/>
    <m/>
    <m/>
    <x v="0"/>
    <n v="0"/>
    <s v="Promotion"/>
    <s v="VIP PAQUIN ROOM 232"/>
    <m/>
  </r>
  <r>
    <x v="1"/>
    <x v="0"/>
    <m/>
    <m/>
    <m/>
    <m/>
    <m/>
    <n v="15.49"/>
    <m/>
    <m/>
    <x v="0"/>
    <n v="0"/>
    <s v="Promotion"/>
    <s v="VIP GRP LAFERRIERE"/>
    <m/>
  </r>
  <r>
    <x v="1"/>
    <x v="0"/>
    <m/>
    <m/>
    <m/>
    <m/>
    <m/>
    <n v="42"/>
    <m/>
    <m/>
    <x v="0"/>
    <n v="0"/>
    <s v="Promotion"/>
    <s v="VIP AMBAS AZZI ROOM 401"/>
    <m/>
  </r>
  <r>
    <x v="1"/>
    <x v="0"/>
    <m/>
    <m/>
    <m/>
    <m/>
    <m/>
    <n v="15.49"/>
    <m/>
    <m/>
    <x v="0"/>
    <n v="0"/>
    <s v="Promotion"/>
    <s v="VIP AMBAS AZZI ROOM 438"/>
    <m/>
  </r>
  <r>
    <x v="1"/>
    <x v="0"/>
    <m/>
    <m/>
    <m/>
    <m/>
    <m/>
    <n v="6.95"/>
    <m/>
    <m/>
    <x v="0"/>
    <n v="0"/>
    <s v="Promotion"/>
    <s v="VIP HR LAROUCHE"/>
    <m/>
  </r>
  <r>
    <x v="1"/>
    <x v="0"/>
    <m/>
    <m/>
    <m/>
    <m/>
    <m/>
    <n v="15.99"/>
    <m/>
    <m/>
    <x v="0"/>
    <n v="0"/>
    <s v="Promotion"/>
    <s v="VIP AMBAS FERREIRA"/>
    <m/>
  </r>
  <r>
    <x v="1"/>
    <x v="0"/>
    <m/>
    <m/>
    <m/>
    <m/>
    <m/>
    <n v="15.99"/>
    <m/>
    <m/>
    <x v="0"/>
    <n v="0"/>
    <s v="Promotion"/>
    <s v="VIP AMBAS RIDEOUT"/>
    <m/>
  </r>
  <r>
    <x v="1"/>
    <x v="0"/>
    <m/>
    <m/>
    <m/>
    <m/>
    <m/>
    <n v="6.95"/>
    <m/>
    <m/>
    <x v="0"/>
    <n v="0"/>
    <s v="Promotion"/>
    <s v="VIP HR WHEATLEY"/>
    <m/>
  </r>
  <r>
    <x v="1"/>
    <x v="0"/>
    <m/>
    <m/>
    <m/>
    <m/>
    <m/>
    <n v="6.95"/>
    <m/>
    <m/>
    <x v="0"/>
    <n v="0"/>
    <s v="Promotion"/>
    <s v="VIP HR GARNEAU"/>
    <m/>
  </r>
  <r>
    <x v="1"/>
    <x v="0"/>
    <m/>
    <m/>
    <m/>
    <m/>
    <m/>
    <n v="6.95"/>
    <m/>
    <m/>
    <x v="0"/>
    <n v="0"/>
    <s v="Promotion"/>
    <s v="VIP HR GROSSBARD"/>
    <m/>
  </r>
  <r>
    <x v="1"/>
    <x v="1"/>
    <n v="90"/>
    <m/>
    <m/>
    <m/>
    <m/>
    <m/>
    <m/>
    <n v="13.5"/>
    <x v="0"/>
    <n v="0"/>
    <s v="Promotion"/>
    <s v="PAQUIN 232"/>
    <m/>
  </r>
  <r>
    <x v="1"/>
    <x v="1"/>
    <n v="112"/>
    <m/>
    <m/>
    <m/>
    <n v="21"/>
    <m/>
    <m/>
    <n v="15.96"/>
    <x v="1"/>
    <n v="0"/>
    <s v="Administration"/>
    <s v="ADMIN LUNCH"/>
    <m/>
  </r>
  <r>
    <x v="1"/>
    <x v="1"/>
    <m/>
    <n v="76.5"/>
    <n v="9"/>
    <m/>
    <m/>
    <m/>
    <m/>
    <n v="10.26"/>
    <x v="1"/>
    <n v="0"/>
    <s v="Administration"/>
    <s v="MR DACOSTA"/>
    <m/>
  </r>
  <r>
    <x v="1"/>
    <x v="0"/>
    <m/>
    <m/>
    <m/>
    <m/>
    <m/>
    <n v="19.5"/>
    <m/>
    <n v="2.93"/>
    <x v="1"/>
    <n v="0"/>
    <s v="Administration"/>
    <s v="PAT MAIORANO"/>
    <m/>
  </r>
  <r>
    <x v="1"/>
    <x v="0"/>
    <m/>
    <m/>
    <m/>
    <m/>
    <m/>
    <n v="8"/>
    <m/>
    <m/>
    <x v="1"/>
    <n v="0"/>
    <s v="Administration"/>
    <s v="LUNCH GUYLAINE"/>
    <m/>
  </r>
  <r>
    <x v="1"/>
    <x v="0"/>
    <m/>
    <m/>
    <m/>
    <m/>
    <m/>
    <n v="12.95"/>
    <m/>
    <n v="1.94"/>
    <x v="1"/>
    <n v="0"/>
    <s v="Administration"/>
    <s v="KHALIL"/>
    <m/>
  </r>
  <r>
    <x v="1"/>
    <x v="0"/>
    <m/>
    <m/>
    <m/>
    <m/>
    <m/>
    <n v="112.92000000000002"/>
    <m/>
    <n v="13.55"/>
    <x v="1"/>
    <n v="0"/>
    <s v="Administration"/>
    <s v="MR BOURBONNAIS"/>
    <m/>
  </r>
  <r>
    <x v="1"/>
    <x v="0"/>
    <m/>
    <m/>
    <m/>
    <m/>
    <m/>
    <n v="14"/>
    <m/>
    <n v="2.1"/>
    <x v="1"/>
    <n v="0"/>
    <s v="Administration"/>
    <s v="NIKOLETTA"/>
    <m/>
  </r>
  <r>
    <x v="1"/>
    <x v="0"/>
    <m/>
    <m/>
    <m/>
    <m/>
    <m/>
    <n v="6"/>
    <m/>
    <n v="0.9"/>
    <x v="1"/>
    <n v="0"/>
    <s v="Administration"/>
    <s v="ROULA ISSA"/>
    <m/>
  </r>
  <r>
    <x v="1"/>
    <x v="0"/>
    <m/>
    <m/>
    <m/>
    <m/>
    <m/>
    <n v="23.95"/>
    <m/>
    <n v="3.59"/>
    <x v="1"/>
    <n v="0"/>
    <s v="Administration"/>
    <s v="LUNCH MORGANE"/>
    <m/>
  </r>
  <r>
    <x v="2"/>
    <x v="0"/>
    <m/>
    <m/>
    <m/>
    <m/>
    <m/>
    <n v="4.25"/>
    <m/>
    <m/>
    <x v="1"/>
    <n v="0"/>
    <s v="Administration"/>
    <s v="Khalil"/>
    <m/>
  </r>
  <r>
    <x v="2"/>
    <x v="0"/>
    <m/>
    <m/>
    <m/>
    <m/>
    <m/>
    <n v="12.95"/>
    <m/>
    <n v="1.94"/>
    <x v="1"/>
    <n v="0"/>
    <s v="Administration"/>
    <s v="Khalil meal"/>
    <m/>
  </r>
  <r>
    <x v="2"/>
    <x v="0"/>
    <m/>
    <m/>
    <m/>
    <m/>
    <m/>
    <n v="9.25"/>
    <m/>
    <n v="1.39"/>
    <x v="1"/>
    <n v="0"/>
    <s v="Administration"/>
    <s v="Repas auditeur"/>
    <m/>
  </r>
  <r>
    <x v="2"/>
    <x v="1"/>
    <n v="65"/>
    <m/>
    <m/>
    <m/>
    <m/>
    <m/>
    <m/>
    <n v="7.8"/>
    <x v="1"/>
    <n v="0"/>
    <s v="Administration"/>
    <s v="Giovanni-Roula"/>
    <m/>
  </r>
  <r>
    <x v="2"/>
    <x v="0"/>
    <m/>
    <m/>
    <m/>
    <m/>
    <m/>
    <n v="15.49"/>
    <m/>
    <m/>
    <x v="0"/>
    <n v="0"/>
    <s v="Promotion"/>
    <s v="VIP Ambas Bitar arr 06-04"/>
    <m/>
  </r>
  <r>
    <x v="2"/>
    <x v="0"/>
    <m/>
    <m/>
    <m/>
    <m/>
    <m/>
    <n v="2.99"/>
    <m/>
    <m/>
    <x v="0"/>
    <n v="0"/>
    <s v="Promotion"/>
    <s v="VIP Young kid allergies R215"/>
    <m/>
  </r>
  <r>
    <x v="2"/>
    <x v="0"/>
    <m/>
    <m/>
    <m/>
    <m/>
    <m/>
    <n v="20.99"/>
    <m/>
    <m/>
    <x v="0"/>
    <n v="0"/>
    <s v="Promotion"/>
    <s v="a ne pas faire"/>
    <m/>
  </r>
  <r>
    <x v="2"/>
    <x v="0"/>
    <m/>
    <m/>
    <m/>
    <m/>
    <m/>
    <n v="3"/>
    <m/>
    <n v="0.45"/>
    <x v="0"/>
    <n v="0"/>
    <s v="Promotion"/>
    <s v="Club lounge"/>
    <m/>
  </r>
  <r>
    <x v="2"/>
    <x v="0"/>
    <m/>
    <m/>
    <m/>
    <m/>
    <m/>
    <n v="3.5"/>
    <m/>
    <n v="0.53"/>
    <x v="0"/>
    <n v="0"/>
    <s v="Promotion"/>
    <s v="Club lounge"/>
    <m/>
  </r>
  <r>
    <x v="2"/>
    <x v="1"/>
    <n v="65"/>
    <m/>
    <m/>
    <m/>
    <m/>
    <m/>
    <m/>
    <n v="9.75"/>
    <x v="0"/>
    <n v="0"/>
    <s v="Promotion"/>
    <s v="HP"/>
    <m/>
  </r>
  <r>
    <x v="2"/>
    <x v="1"/>
    <m/>
    <n v="27"/>
    <m/>
    <m/>
    <m/>
    <m/>
    <m/>
    <n v="4.05"/>
    <x v="0"/>
    <n v="0"/>
    <s v="Promotion"/>
    <s v="giovanni 151"/>
    <m/>
  </r>
  <r>
    <x v="2"/>
    <x v="1"/>
    <n v="67"/>
    <n v="80"/>
    <m/>
    <m/>
    <n v="7"/>
    <m/>
    <m/>
    <n v="23.1"/>
    <x v="0"/>
    <n v="0"/>
    <s v="Promotion"/>
    <s v="mme fortin"/>
    <m/>
  </r>
  <r>
    <x v="2"/>
    <x v="1"/>
    <n v="139.5"/>
    <n v="53"/>
    <m/>
    <m/>
    <m/>
    <m/>
    <m/>
    <n v="28.88"/>
    <x v="0"/>
    <n v="0"/>
    <s v="Promotion"/>
    <s v="dan et vero"/>
    <m/>
  </r>
  <r>
    <x v="3"/>
    <x v="0"/>
    <m/>
    <m/>
    <m/>
    <m/>
    <m/>
    <n v="6"/>
    <m/>
    <m/>
    <x v="1"/>
    <n v="0"/>
    <s v="Administration"/>
    <s v="Karina"/>
    <m/>
  </r>
  <r>
    <x v="3"/>
    <x v="0"/>
    <m/>
    <m/>
    <m/>
    <m/>
    <m/>
    <n v="10.25"/>
    <m/>
    <n v="1.54"/>
    <x v="1"/>
    <n v="0"/>
    <s v="Administration"/>
    <s v="Jessica"/>
    <m/>
  </r>
  <r>
    <x v="3"/>
    <x v="1"/>
    <n v="53"/>
    <m/>
    <m/>
    <m/>
    <m/>
    <m/>
    <m/>
    <n v="6.36"/>
    <x v="1"/>
    <n v="0"/>
    <s v="Administration"/>
    <s v="Giovanni Jessica"/>
    <m/>
  </r>
  <r>
    <x v="3"/>
    <x v="1"/>
    <n v="30"/>
    <m/>
    <m/>
    <m/>
    <m/>
    <m/>
    <m/>
    <n v="33.6"/>
    <x v="1"/>
    <n v="0"/>
    <s v="Administration"/>
    <s v="Reception"/>
    <m/>
  </r>
  <r>
    <x v="3"/>
    <x v="0"/>
    <m/>
    <m/>
    <m/>
    <m/>
    <m/>
    <n v="12"/>
    <m/>
    <n v="1.8"/>
    <x v="0"/>
    <n v="0"/>
    <s v="Promotion"/>
    <s v="Machine Club lounge"/>
    <m/>
  </r>
  <r>
    <x v="3"/>
    <x v="0"/>
    <m/>
    <m/>
    <m/>
    <m/>
    <m/>
    <n v="3.5"/>
    <m/>
    <n v="0.53"/>
    <x v="0"/>
    <n v="0"/>
    <s v="Promotion"/>
    <s v="Machine Club lounge"/>
    <m/>
  </r>
  <r>
    <x v="3"/>
    <x v="1"/>
    <n v="45"/>
    <m/>
    <m/>
    <m/>
    <m/>
    <m/>
    <m/>
    <n v="6.75"/>
    <x v="0"/>
    <n v="0"/>
    <s v="Promotion"/>
    <s v="HP"/>
    <m/>
  </r>
  <r>
    <x v="3"/>
    <x v="1"/>
    <n v="78"/>
    <n v="89.5"/>
    <m/>
    <m/>
    <m/>
    <m/>
    <m/>
    <n v="25.13"/>
    <x v="0"/>
    <n v="0"/>
    <s v="Promotion"/>
    <s v="Musicienne"/>
    <m/>
  </r>
  <r>
    <x v="4"/>
    <x v="0"/>
    <m/>
    <m/>
    <m/>
    <m/>
    <m/>
    <n v="17.2"/>
    <m/>
    <n v="2.06"/>
    <x v="1"/>
    <n v="0"/>
    <s v="Administration"/>
    <s v="LUNCH"/>
    <m/>
  </r>
  <r>
    <x v="4"/>
    <x v="0"/>
    <m/>
    <m/>
    <m/>
    <m/>
    <m/>
    <n v="16.25"/>
    <m/>
    <n v="1.95"/>
    <x v="1"/>
    <n v="0"/>
    <s v="Administration"/>
    <s v="NELSON"/>
    <m/>
  </r>
  <r>
    <x v="4"/>
    <x v="0"/>
    <m/>
    <m/>
    <m/>
    <m/>
    <m/>
    <n v="14"/>
    <m/>
    <n v="1.75"/>
    <x v="1"/>
    <n v="0"/>
    <s v="Administration"/>
    <s v="NIKOLETTA"/>
    <m/>
  </r>
  <r>
    <x v="4"/>
    <x v="0"/>
    <m/>
    <m/>
    <m/>
    <m/>
    <m/>
    <n v="8"/>
    <m/>
    <m/>
    <x v="1"/>
    <n v="0"/>
    <s v="Administration"/>
    <s v="STAFF"/>
    <m/>
  </r>
  <r>
    <x v="4"/>
    <x v="0"/>
    <m/>
    <m/>
    <m/>
    <m/>
    <m/>
    <n v="10.75"/>
    <m/>
    <n v="1.61"/>
    <x v="1"/>
    <n v="0"/>
    <s v="Administration"/>
    <s v="KHALIL"/>
    <m/>
  </r>
  <r>
    <x v="4"/>
    <x v="1"/>
    <n v="318"/>
    <m/>
    <m/>
    <m/>
    <m/>
    <m/>
    <m/>
    <n v="38.159999999999997"/>
    <x v="1"/>
    <n v="0"/>
    <s v="Administration"/>
    <s v="MEUNIER"/>
    <m/>
  </r>
  <r>
    <x v="4"/>
    <x v="0"/>
    <m/>
    <m/>
    <m/>
    <m/>
    <m/>
    <n v="12"/>
    <m/>
    <n v="1.8"/>
    <x v="0"/>
    <n v="0"/>
    <s v="Promotion"/>
    <s v="MACHINE LOUNGE BRISE"/>
    <m/>
  </r>
  <r>
    <x v="4"/>
    <x v="1"/>
    <m/>
    <n v="294.5"/>
    <m/>
    <n v="325"/>
    <m/>
    <m/>
    <m/>
    <n v="92.93"/>
    <x v="0"/>
    <n v="0"/>
    <s v="Promotion"/>
    <s v="HP RENDA"/>
    <m/>
  </r>
  <r>
    <x v="4"/>
    <x v="1"/>
    <n v="1113"/>
    <m/>
    <m/>
    <n v="208"/>
    <m/>
    <m/>
    <m/>
    <n v="198.15"/>
    <x v="0"/>
    <n v="0"/>
    <s v="Promotion"/>
    <s v="CHRISTINE SAVOIE"/>
    <m/>
  </r>
  <r>
    <x v="4"/>
    <x v="1"/>
    <n v="495"/>
    <n v="27"/>
    <m/>
    <m/>
    <n v="4.5"/>
    <m/>
    <m/>
    <n v="78.98"/>
    <x v="0"/>
    <n v="0"/>
    <s v="Promotion"/>
    <s v="CLAUDIO ROSSI"/>
    <m/>
  </r>
  <r>
    <x v="4"/>
    <x v="1"/>
    <n v="159"/>
    <m/>
    <m/>
    <m/>
    <m/>
    <m/>
    <m/>
    <n v="23.85"/>
    <x v="0"/>
    <n v="0"/>
    <s v="Promotion"/>
    <s v="MUSICIENNE"/>
    <m/>
  </r>
  <r>
    <x v="4"/>
    <x v="1"/>
    <n v="795"/>
    <m/>
    <m/>
    <n v="20"/>
    <n v="21"/>
    <m/>
    <m/>
    <n v="125.4"/>
    <x v="0"/>
    <n v="0"/>
    <s v="Promotion"/>
    <s v="GINA OFFERT PAR GIOVANNI"/>
    <m/>
  </r>
  <r>
    <x v="4"/>
    <x v="1"/>
    <n v="681"/>
    <m/>
    <m/>
    <n v="85"/>
    <n v="25.990000000000002"/>
    <m/>
    <m/>
    <n v="118.8"/>
    <x v="0"/>
    <n v="0"/>
    <s v="Promotion"/>
    <s v="CHEF ERIC ROBIDOUX"/>
    <m/>
  </r>
  <r>
    <x v="4"/>
    <x v="1"/>
    <n v="34.5"/>
    <m/>
    <m/>
    <m/>
    <m/>
    <m/>
    <m/>
    <n v="5.18"/>
    <x v="0"/>
    <n v="0"/>
    <s v="Promotion"/>
    <s v="ED MINICOZZI"/>
    <m/>
  </r>
  <r>
    <x v="4"/>
    <x v="1"/>
    <n v="954"/>
    <m/>
    <m/>
    <n v="45"/>
    <n v="21"/>
    <m/>
    <m/>
    <n v="153"/>
    <x v="0"/>
    <n v="0"/>
    <s v="Promotion"/>
    <s v="MARTEL MAITRE"/>
    <m/>
  </r>
  <r>
    <x v="4"/>
    <x v="1"/>
    <n v="27.5"/>
    <m/>
    <m/>
    <m/>
    <n v="8.5"/>
    <m/>
    <m/>
    <n v="5.4"/>
    <x v="0"/>
    <n v="0"/>
    <s v="Promotion"/>
    <s v="OFFERED CARLO SCALZO"/>
    <m/>
  </r>
  <r>
    <x v="4"/>
    <x v="1"/>
    <m/>
    <m/>
    <m/>
    <n v="140"/>
    <m/>
    <m/>
    <m/>
    <n v="21"/>
    <x v="0"/>
    <n v="0"/>
    <s v="Promotion"/>
    <s v="CATHY MONTICELLO"/>
    <m/>
  </r>
  <r>
    <x v="4"/>
    <x v="1"/>
    <m/>
    <m/>
    <m/>
    <n v="190"/>
    <n v="14"/>
    <m/>
    <m/>
    <n v="30.6"/>
    <x v="0"/>
    <n v="0"/>
    <s v="Promotion"/>
    <s v="TONY ARCURSO"/>
    <m/>
  </r>
  <r>
    <x v="4"/>
    <x v="1"/>
    <n v="24"/>
    <m/>
    <m/>
    <m/>
    <n v="11.25"/>
    <m/>
    <m/>
    <n v="5.29"/>
    <x v="0"/>
    <n v="0"/>
    <s v="Promotion"/>
    <s v="HP"/>
    <m/>
  </r>
  <r>
    <x v="5"/>
    <x v="1"/>
    <n v="16"/>
    <m/>
    <m/>
    <m/>
    <m/>
    <m/>
    <m/>
    <n v="2.4"/>
    <x v="0"/>
    <n v="0"/>
    <s v="Promotion"/>
    <s v="PROMO VAL"/>
    <m/>
  </r>
  <r>
    <x v="5"/>
    <x v="0"/>
    <n v="18.45"/>
    <m/>
    <m/>
    <m/>
    <m/>
    <m/>
    <m/>
    <n v="2.21"/>
    <x v="1"/>
    <n v="0"/>
    <s v="Administration"/>
    <s v="LUNCH"/>
    <m/>
  </r>
  <r>
    <x v="6"/>
    <x v="1"/>
    <m/>
    <n v="51"/>
    <m/>
    <m/>
    <m/>
    <m/>
    <m/>
    <n v="7.65"/>
    <x v="0"/>
    <n v="0"/>
    <s v="Promotion"/>
    <s v="CLIENT VALENTIN"/>
    <m/>
  </r>
  <r>
    <x v="6"/>
    <x v="0"/>
    <m/>
    <m/>
    <m/>
    <m/>
    <m/>
    <n v="6.95"/>
    <m/>
    <m/>
    <x v="0"/>
    <n v="0"/>
    <s v="Promotion"/>
    <s v="VIP HR COLE ARR.07-04"/>
    <m/>
  </r>
  <r>
    <x v="6"/>
    <x v="0"/>
    <m/>
    <m/>
    <m/>
    <m/>
    <m/>
    <n v="6.95"/>
    <m/>
    <m/>
    <x v="0"/>
    <n v="0"/>
    <s v="Promotion"/>
    <s v="VIP HR GARNEAU ARR.07-04"/>
    <m/>
  </r>
  <r>
    <x v="6"/>
    <x v="0"/>
    <m/>
    <m/>
    <m/>
    <m/>
    <m/>
    <n v="6.95"/>
    <m/>
    <m/>
    <x v="0"/>
    <n v="0"/>
    <s v="Promotion"/>
    <s v="BIP HR WHEATLY ARR.07-04"/>
    <m/>
  </r>
  <r>
    <x v="6"/>
    <x v="0"/>
    <m/>
    <m/>
    <m/>
    <m/>
    <m/>
    <n v="6.95"/>
    <m/>
    <m/>
    <x v="0"/>
    <n v="0"/>
    <s v="Promotion"/>
    <s v="VIP HR GROSSBARD ARR.07-04"/>
    <m/>
  </r>
  <r>
    <x v="6"/>
    <x v="0"/>
    <m/>
    <m/>
    <m/>
    <m/>
    <m/>
    <n v="15.99"/>
    <m/>
    <m/>
    <x v="0"/>
    <n v="0"/>
    <s v="Promotion"/>
    <s v="VIP AMBAS FERREIRA ARR.07-04"/>
    <m/>
  </r>
  <r>
    <x v="6"/>
    <x v="0"/>
    <m/>
    <m/>
    <m/>
    <m/>
    <m/>
    <n v="15.99"/>
    <m/>
    <m/>
    <x v="0"/>
    <n v="0"/>
    <s v="Promotion"/>
    <s v="VIP AMBAS RIDEAI ARR.07-04"/>
    <m/>
  </r>
  <r>
    <x v="6"/>
    <x v="0"/>
    <m/>
    <m/>
    <m/>
    <m/>
    <m/>
    <n v="15.99"/>
    <m/>
    <m/>
    <x v="0"/>
    <n v="0"/>
    <s v="Promotion"/>
    <s v="VIP AMBAS DELCUCA ARR.08-04"/>
    <m/>
  </r>
  <r>
    <x v="6"/>
    <x v="0"/>
    <m/>
    <m/>
    <m/>
    <m/>
    <m/>
    <n v="4.25"/>
    <m/>
    <m/>
    <x v="1"/>
    <n v="0"/>
    <s v="Administration"/>
    <s v="MELANIE PERREIRA"/>
    <m/>
  </r>
  <r>
    <x v="6"/>
    <x v="0"/>
    <n v="5.5"/>
    <m/>
    <m/>
    <m/>
    <m/>
    <m/>
    <m/>
    <m/>
    <x v="1"/>
    <n v="0"/>
    <s v="Administration"/>
    <s v="DMN MANDY"/>
    <m/>
  </r>
  <r>
    <x v="6"/>
    <x v="1"/>
    <n v="37"/>
    <m/>
    <m/>
    <m/>
    <n v="4.5"/>
    <m/>
    <m/>
    <n v="4.9800000000000004"/>
    <x v="1"/>
    <n v="0"/>
    <s v="Administration"/>
    <s v="NATALIA"/>
    <m/>
  </r>
  <r>
    <x v="6"/>
    <x v="0"/>
    <m/>
    <m/>
    <m/>
    <m/>
    <m/>
    <n v="10.25"/>
    <m/>
    <n v="1.25"/>
    <x v="1"/>
    <n v="0"/>
    <s v="Administration"/>
    <s v="THANEEKAN"/>
    <m/>
  </r>
  <r>
    <x v="6"/>
    <x v="1"/>
    <n v="6.75"/>
    <m/>
    <m/>
    <m/>
    <m/>
    <m/>
    <m/>
    <n v="0.81"/>
    <x v="1"/>
    <n v="0"/>
    <s v="Administration"/>
    <s v="NELSON"/>
    <m/>
  </r>
  <r>
    <x v="6"/>
    <x v="1"/>
    <n v="23"/>
    <m/>
    <m/>
    <m/>
    <m/>
    <m/>
    <m/>
    <n v="2.76"/>
    <x v="1"/>
    <n v="0"/>
    <s v="Administration"/>
    <s v="GIOAVANNI"/>
    <m/>
  </r>
  <r>
    <x v="6"/>
    <x v="1"/>
    <n v="26"/>
    <m/>
    <m/>
    <m/>
    <m/>
    <m/>
    <m/>
    <m/>
    <x v="1"/>
    <n v="0"/>
    <s v="Administration"/>
    <s v="VAL"/>
    <m/>
  </r>
  <r>
    <x v="7"/>
    <x v="1"/>
    <n v="42"/>
    <m/>
    <m/>
    <m/>
    <m/>
    <m/>
    <m/>
    <n v="7.56"/>
    <x v="0"/>
    <n v="0"/>
    <s v="Promotion"/>
    <s v="Guylaine"/>
    <m/>
  </r>
  <r>
    <x v="7"/>
    <x v="0"/>
    <m/>
    <m/>
    <m/>
    <m/>
    <m/>
    <n v="4.75"/>
    <m/>
    <m/>
    <x v="0"/>
    <n v="0"/>
    <s v="Promotion"/>
    <s v="VIP Club member"/>
    <m/>
  </r>
  <r>
    <x v="7"/>
    <x v="0"/>
    <m/>
    <m/>
    <m/>
    <m/>
    <m/>
    <n v="13.24"/>
    <m/>
    <m/>
    <x v="0"/>
    <n v="0"/>
    <s v="Promotion"/>
    <s v="VIP Ambas Lennon"/>
    <m/>
  </r>
  <r>
    <x v="7"/>
    <x v="0"/>
    <m/>
    <m/>
    <m/>
    <m/>
    <m/>
    <n v="13.24"/>
    <m/>
    <m/>
    <x v="0"/>
    <n v="0"/>
    <s v="Promotion"/>
    <s v="VIP Ambas Royce"/>
    <m/>
  </r>
  <r>
    <x v="7"/>
    <x v="0"/>
    <m/>
    <m/>
    <m/>
    <m/>
    <m/>
    <n v="6.95"/>
    <m/>
    <m/>
    <x v="0"/>
    <n v="0"/>
    <s v="Promotion"/>
    <s v="VIP Point Thyriar "/>
    <m/>
  </r>
  <r>
    <x v="7"/>
    <x v="0"/>
    <m/>
    <m/>
    <m/>
    <m/>
    <m/>
    <n v="6.95"/>
    <m/>
    <m/>
    <x v="0"/>
    <n v="0"/>
    <s v="Promotion"/>
    <s v="VIP HR Fortier"/>
    <m/>
  </r>
  <r>
    <x v="7"/>
    <x v="0"/>
    <m/>
    <m/>
    <m/>
    <m/>
    <m/>
    <n v="6.95"/>
    <m/>
    <m/>
    <x v="0"/>
    <n v="0"/>
    <s v="Promotion"/>
    <s v="VIP HR Filabraut"/>
    <m/>
  </r>
  <r>
    <x v="7"/>
    <x v="0"/>
    <m/>
    <m/>
    <m/>
    <m/>
    <m/>
    <n v="6.95"/>
    <m/>
    <m/>
    <x v="0"/>
    <n v="0"/>
    <s v="Promotion"/>
    <s v="VIP HR Bergeron"/>
    <m/>
  </r>
  <r>
    <x v="7"/>
    <x v="0"/>
    <m/>
    <m/>
    <m/>
    <m/>
    <m/>
    <n v="6.95"/>
    <m/>
    <m/>
    <x v="0"/>
    <n v="0"/>
    <s v="Promotion"/>
    <s v="VIP HR Fogel"/>
    <m/>
  </r>
  <r>
    <x v="7"/>
    <x v="0"/>
    <m/>
    <m/>
    <m/>
    <m/>
    <m/>
    <n v="6.95"/>
    <m/>
    <m/>
    <x v="0"/>
    <n v="0"/>
    <s v="Promotion"/>
    <s v="VIP HR Codere"/>
    <m/>
  </r>
  <r>
    <x v="7"/>
    <x v="0"/>
    <m/>
    <m/>
    <m/>
    <m/>
    <m/>
    <n v="6.95"/>
    <m/>
    <m/>
    <x v="0"/>
    <n v="0"/>
    <s v="Promotion"/>
    <s v="VIP HR Barette"/>
    <m/>
  </r>
  <r>
    <x v="7"/>
    <x v="0"/>
    <m/>
    <m/>
    <m/>
    <m/>
    <m/>
    <n v="15.99"/>
    <m/>
    <m/>
    <x v="0"/>
    <n v="0"/>
    <s v="Promotion"/>
    <s v="VIP AMBS FED"/>
    <m/>
  </r>
  <r>
    <x v="7"/>
    <x v="0"/>
    <m/>
    <m/>
    <m/>
    <m/>
    <m/>
    <n v="6.95"/>
    <m/>
    <m/>
    <x v="0"/>
    <n v="0"/>
    <s v="Promotion"/>
    <s v="VIP Point Sahi"/>
    <m/>
  </r>
  <r>
    <x v="7"/>
    <x v="0"/>
    <m/>
    <m/>
    <m/>
    <m/>
    <m/>
    <n v="6.95"/>
    <m/>
    <m/>
    <x v="0"/>
    <n v="0"/>
    <s v="Promotion"/>
    <s v="VIP HR Brunelle"/>
    <m/>
  </r>
  <r>
    <x v="7"/>
    <x v="0"/>
    <m/>
    <m/>
    <m/>
    <m/>
    <m/>
    <n v="6.95"/>
    <m/>
    <m/>
    <x v="0"/>
    <n v="0"/>
    <s v="Promotion"/>
    <s v="VIP HR Montreuil"/>
    <m/>
  </r>
  <r>
    <x v="7"/>
    <x v="0"/>
    <m/>
    <m/>
    <m/>
    <m/>
    <m/>
    <n v="6.95"/>
    <m/>
    <m/>
    <x v="0"/>
    <n v="0"/>
    <s v="Promotion"/>
    <s v="VIP HR Darwish"/>
    <m/>
  </r>
  <r>
    <x v="7"/>
    <x v="0"/>
    <m/>
    <m/>
    <m/>
    <m/>
    <m/>
    <n v="6.95"/>
    <m/>
    <m/>
    <x v="0"/>
    <n v="0"/>
    <s v="Promotion"/>
    <s v="VIP HR Morancy"/>
    <m/>
  </r>
  <r>
    <x v="7"/>
    <x v="0"/>
    <m/>
    <m/>
    <m/>
    <m/>
    <m/>
    <n v="7.5"/>
    <m/>
    <m/>
    <x v="0"/>
    <n v="0"/>
    <s v="Promotion"/>
    <s v="VIP G5 room - Reco Ser"/>
    <m/>
  </r>
  <r>
    <x v="7"/>
    <x v="0"/>
    <m/>
    <m/>
    <m/>
    <m/>
    <m/>
    <n v="15.49"/>
    <m/>
    <m/>
    <x v="0"/>
    <n v="0"/>
    <s v="Promotion"/>
    <s v="VIP Sales Saint Pierre"/>
    <m/>
  </r>
  <r>
    <x v="7"/>
    <x v="0"/>
    <m/>
    <m/>
    <m/>
    <m/>
    <m/>
    <n v="15.49"/>
    <m/>
    <m/>
    <x v="0"/>
    <n v="0"/>
    <s v="Promotion"/>
    <s v="VIP Sales Roy R 639"/>
    <m/>
  </r>
  <r>
    <x v="7"/>
    <x v="1"/>
    <n v="64"/>
    <m/>
    <m/>
    <m/>
    <n v="14"/>
    <m/>
    <m/>
    <n v="9.36"/>
    <x v="1"/>
    <n v="0"/>
    <s v="Administration"/>
    <s v="Melissa / Roula"/>
    <m/>
  </r>
  <r>
    <x v="7"/>
    <x v="0"/>
    <m/>
    <m/>
    <m/>
    <m/>
    <m/>
    <n v="6.5"/>
    <m/>
    <n v="0.78"/>
    <x v="1"/>
    <n v="0"/>
    <s v="Administration"/>
    <s v="Jessica"/>
    <m/>
  </r>
  <r>
    <x v="7"/>
    <x v="0"/>
    <m/>
    <m/>
    <m/>
    <m/>
    <m/>
    <n v="25.2"/>
    <m/>
    <n v="3.47"/>
    <x v="1"/>
    <n v="0"/>
    <s v="Administration"/>
    <s v="Thaneekan"/>
    <m/>
  </r>
  <r>
    <x v="7"/>
    <x v="0"/>
    <m/>
    <m/>
    <m/>
    <m/>
    <m/>
    <n v="18.95"/>
    <m/>
    <n v="2.84"/>
    <x v="1"/>
    <n v="0"/>
    <s v="Administration"/>
    <s v="Nikoletta"/>
    <m/>
  </r>
  <r>
    <x v="7"/>
    <x v="0"/>
    <m/>
    <m/>
    <m/>
    <m/>
    <m/>
    <n v="24.45"/>
    <m/>
    <n v="3.66"/>
    <x v="1"/>
    <n v="0"/>
    <s v="Administration"/>
    <s v="Repas Morgane M"/>
    <m/>
  </r>
  <r>
    <x v="7"/>
    <x v="0"/>
    <m/>
    <m/>
    <m/>
    <m/>
    <m/>
    <n v="2.95"/>
    <m/>
    <m/>
    <x v="1"/>
    <n v="0"/>
    <s v="Administration"/>
    <s v="Stephane - Maintenance"/>
    <m/>
  </r>
  <r>
    <x v="7"/>
    <x v="0"/>
    <m/>
    <m/>
    <m/>
    <m/>
    <m/>
    <n v="17.2"/>
    <m/>
    <n v="2.58"/>
    <x v="1"/>
    <n v="0"/>
    <s v="Administration"/>
    <s v="Jessica Charlebois"/>
    <m/>
  </r>
  <r>
    <x v="8"/>
    <x v="0"/>
    <n v="5"/>
    <m/>
    <m/>
    <m/>
    <m/>
    <m/>
    <m/>
    <m/>
    <x v="1"/>
    <n v="0"/>
    <s v="Administration"/>
    <s v="VVIP GUYLAINE SNACK"/>
    <m/>
  </r>
  <r>
    <x v="8"/>
    <x v="0"/>
    <n v="15.5"/>
    <m/>
    <m/>
    <m/>
    <m/>
    <n v="4.25"/>
    <m/>
    <n v="2.96"/>
    <x v="1"/>
    <n v="0"/>
    <s v="Administration"/>
    <s v="NIKOLETTA ET LYDIA"/>
    <m/>
  </r>
  <r>
    <x v="8"/>
    <x v="0"/>
    <n v="19.7"/>
    <m/>
    <m/>
    <m/>
    <m/>
    <m/>
    <m/>
    <n v="2.96"/>
    <x v="1"/>
    <n v="0"/>
    <s v="Administration"/>
    <s v="KHALIL"/>
    <m/>
  </r>
  <r>
    <x v="8"/>
    <x v="0"/>
    <n v="6"/>
    <m/>
    <m/>
    <m/>
    <m/>
    <m/>
    <m/>
    <n v="0.9"/>
    <x v="1"/>
    <n v="0"/>
    <s v="Administration"/>
    <s v="ROULA"/>
    <m/>
  </r>
  <r>
    <x v="8"/>
    <x v="1"/>
    <n v="173"/>
    <m/>
    <m/>
    <m/>
    <n v="21"/>
    <m/>
    <m/>
    <n v="23.28"/>
    <x v="1"/>
    <n v="0"/>
    <s v="Administration"/>
    <s v="ADMINISTRATION"/>
    <m/>
  </r>
  <r>
    <x v="8"/>
    <x v="0"/>
    <m/>
    <m/>
    <m/>
    <m/>
    <m/>
    <n v="23"/>
    <m/>
    <m/>
    <x v="0"/>
    <n v="0"/>
    <s v="Promotion"/>
    <s v="VIP SALES CADAUX"/>
    <m/>
  </r>
  <r>
    <x v="8"/>
    <x v="0"/>
    <m/>
    <m/>
    <m/>
    <m/>
    <m/>
    <n v="30.99"/>
    <m/>
    <m/>
    <x v="0"/>
    <n v="0"/>
    <s v="Promotion"/>
    <s v="VIP SALES JOST"/>
    <m/>
  </r>
  <r>
    <x v="8"/>
    <x v="0"/>
    <m/>
    <m/>
    <m/>
    <m/>
    <m/>
    <n v="30.99"/>
    <m/>
    <m/>
    <x v="0"/>
    <n v="0"/>
    <s v="Promotion"/>
    <s v="VIP SALES CARPENTIER"/>
    <m/>
  </r>
  <r>
    <x v="8"/>
    <x v="0"/>
    <m/>
    <m/>
    <m/>
    <m/>
    <m/>
    <n v="23.98"/>
    <m/>
    <m/>
    <x v="0"/>
    <n v="0"/>
    <s v="Promotion"/>
    <s v="VIP SALES MARINHO"/>
    <m/>
  </r>
  <r>
    <x v="8"/>
    <x v="0"/>
    <m/>
    <m/>
    <m/>
    <m/>
    <m/>
    <n v="23.98"/>
    <m/>
    <m/>
    <x v="0"/>
    <n v="0"/>
    <s v="Promotion"/>
    <s v="VIP SALES TUTINO"/>
    <m/>
  </r>
  <r>
    <x v="8"/>
    <x v="0"/>
    <m/>
    <m/>
    <m/>
    <m/>
    <m/>
    <n v="15"/>
    <m/>
    <m/>
    <x v="0"/>
    <n v="0"/>
    <s v="Promotion"/>
    <s v="VIP SALES DESOR"/>
    <m/>
  </r>
  <r>
    <x v="8"/>
    <x v="0"/>
    <m/>
    <m/>
    <m/>
    <m/>
    <m/>
    <n v="6.95"/>
    <m/>
    <m/>
    <x v="0"/>
    <n v="0"/>
    <s v="Promotion"/>
    <s v="VIP HR KING"/>
    <m/>
  </r>
  <r>
    <x v="8"/>
    <x v="0"/>
    <m/>
    <m/>
    <m/>
    <m/>
    <m/>
    <n v="6.95"/>
    <m/>
    <m/>
    <x v="0"/>
    <n v="0"/>
    <s v="Promotion"/>
    <s v="VIP HR FROST"/>
    <m/>
  </r>
  <r>
    <x v="8"/>
    <x v="0"/>
    <m/>
    <m/>
    <m/>
    <m/>
    <m/>
    <n v="15.49"/>
    <m/>
    <m/>
    <x v="0"/>
    <n v="0"/>
    <s v="Promotion"/>
    <s v="VIP AMBAS HICKS"/>
    <m/>
  </r>
  <r>
    <x v="8"/>
    <x v="0"/>
    <m/>
    <m/>
    <m/>
    <m/>
    <m/>
    <n v="15.49"/>
    <m/>
    <m/>
    <x v="0"/>
    <n v="0"/>
    <s v="Promotion"/>
    <s v="VIP AMBAS ROYCE"/>
    <m/>
  </r>
  <r>
    <x v="8"/>
    <x v="0"/>
    <m/>
    <m/>
    <m/>
    <m/>
    <m/>
    <n v="8"/>
    <m/>
    <m/>
    <x v="0"/>
    <n v="0"/>
    <s v="Promotion"/>
    <s v="VIP HR CRABTREE"/>
    <m/>
  </r>
  <r>
    <x v="8"/>
    <x v="0"/>
    <m/>
    <m/>
    <m/>
    <m/>
    <m/>
    <n v="8"/>
    <m/>
    <m/>
    <x v="0"/>
    <n v="0"/>
    <s v="Promotion"/>
    <s v="VIP HR WARTHEN"/>
    <m/>
  </r>
  <r>
    <x v="8"/>
    <x v="0"/>
    <m/>
    <m/>
    <m/>
    <m/>
    <m/>
    <n v="8"/>
    <m/>
    <m/>
    <x v="0"/>
    <n v="0"/>
    <s v="Promotion"/>
    <s v="VIP HR ZHANG"/>
    <m/>
  </r>
  <r>
    <x v="8"/>
    <x v="0"/>
    <m/>
    <m/>
    <m/>
    <m/>
    <m/>
    <n v="8"/>
    <m/>
    <m/>
    <x v="0"/>
    <n v="0"/>
    <s v="Promotion"/>
    <s v="VIP POINT THEYS"/>
    <m/>
  </r>
  <r>
    <x v="8"/>
    <x v="0"/>
    <m/>
    <m/>
    <m/>
    <m/>
    <m/>
    <n v="8.5"/>
    <m/>
    <m/>
    <x v="0"/>
    <n v="0"/>
    <s v="Promotion"/>
    <s v="OK MORGANE"/>
    <m/>
  </r>
  <r>
    <x v="8"/>
    <x v="0"/>
    <n v="11"/>
    <m/>
    <m/>
    <m/>
    <m/>
    <m/>
    <m/>
    <n v="1.65"/>
    <x v="0"/>
    <n v="0"/>
    <s v="Promotion"/>
    <s v="CLUB LOUNGE"/>
    <m/>
  </r>
  <r>
    <x v="8"/>
    <x v="0"/>
    <m/>
    <m/>
    <m/>
    <m/>
    <m/>
    <n v="30.74"/>
    <m/>
    <m/>
    <x v="0"/>
    <n v="0"/>
    <s v="Promotion"/>
    <s v="VIP VLNG IVANOSKI"/>
    <m/>
  </r>
  <r>
    <x v="8"/>
    <x v="1"/>
    <m/>
    <m/>
    <n v="11"/>
    <n v="14"/>
    <m/>
    <m/>
    <m/>
    <n v="3.75"/>
    <x v="0"/>
    <n v="0"/>
    <s v="Promotion"/>
    <s v="SANTO EVOLUTION GYM"/>
    <m/>
  </r>
  <r>
    <x v="9"/>
    <x v="1"/>
    <n v="82"/>
    <m/>
    <m/>
    <m/>
    <m/>
    <m/>
    <m/>
    <n v="11.31"/>
    <x v="1"/>
    <n v="0"/>
    <s v="Administration"/>
    <s v="ADMIN"/>
    <m/>
  </r>
  <r>
    <x v="9"/>
    <x v="1"/>
    <n v="361"/>
    <m/>
    <m/>
    <m/>
    <n v="35"/>
    <m/>
    <m/>
    <n v="47.52"/>
    <x v="1"/>
    <n v="0"/>
    <s v="Administration"/>
    <s v="MEUNIER"/>
    <m/>
  </r>
  <r>
    <x v="9"/>
    <x v="0"/>
    <n v="38.849999999999994"/>
    <m/>
    <m/>
    <m/>
    <m/>
    <n v="9.25"/>
    <m/>
    <n v="7.21"/>
    <x v="1"/>
    <n v="0"/>
    <s v="Administration"/>
    <s v="DINNER JESSICA, MORGANE NIKOLETTA"/>
    <m/>
  </r>
  <r>
    <x v="9"/>
    <x v="0"/>
    <n v="11.25"/>
    <m/>
    <m/>
    <m/>
    <m/>
    <m/>
    <m/>
    <m/>
    <x v="1"/>
    <n v="0"/>
    <s v="Administration"/>
    <s v="RESTO -NADIA-SAPUTO"/>
    <m/>
  </r>
  <r>
    <x v="9"/>
    <x v="1"/>
    <n v="13"/>
    <m/>
    <m/>
    <m/>
    <m/>
    <m/>
    <m/>
    <n v="1.95"/>
    <x v="1"/>
    <n v="0"/>
    <s v="Administration"/>
    <s v="NIKOLETTA ET LYDIA"/>
    <m/>
  </r>
  <r>
    <x v="9"/>
    <x v="0"/>
    <n v="15.45"/>
    <m/>
    <m/>
    <m/>
    <m/>
    <n v="4.25"/>
    <m/>
    <n v="2.96"/>
    <x v="1"/>
    <n v="0"/>
    <s v="Administration"/>
    <s v="KHALIL M "/>
    <m/>
  </r>
  <r>
    <x v="9"/>
    <x v="0"/>
    <n v="6"/>
    <m/>
    <m/>
    <m/>
    <m/>
    <m/>
    <m/>
    <n v="0.9"/>
    <x v="1"/>
    <n v="0"/>
    <s v="Administration"/>
    <s v="MANDY LE"/>
    <m/>
  </r>
  <r>
    <x v="9"/>
    <x v="0"/>
    <n v="14.25"/>
    <m/>
    <m/>
    <m/>
    <m/>
    <m/>
    <m/>
    <n v="1.75"/>
    <x v="1"/>
    <n v="0"/>
    <s v="Administration"/>
    <s v="LES CHEFS"/>
    <m/>
  </r>
  <r>
    <x v="9"/>
    <x v="0"/>
    <n v="12.95"/>
    <m/>
    <m/>
    <m/>
    <m/>
    <m/>
    <m/>
    <n v="1.94"/>
    <x v="1"/>
    <n v="0"/>
    <s v="Administration"/>
    <s v="GUYLAINE DEMPSEY"/>
    <m/>
  </r>
  <r>
    <x v="9"/>
    <x v="1"/>
    <n v="84"/>
    <n v="8"/>
    <m/>
    <n v="84"/>
    <m/>
    <m/>
    <m/>
    <n v="26.4"/>
    <x v="0"/>
    <n v="0"/>
    <s v="Promotion"/>
    <s v="MUSICIEN"/>
    <m/>
  </r>
  <r>
    <x v="9"/>
    <x v="1"/>
    <n v="250.5"/>
    <m/>
    <m/>
    <m/>
    <n v="46.5"/>
    <m/>
    <m/>
    <n v="44.55"/>
    <x v="0"/>
    <n v="0"/>
    <s v="Promotion"/>
    <s v="MME SAPUTO"/>
    <m/>
  </r>
  <r>
    <x v="9"/>
    <x v="0"/>
    <m/>
    <m/>
    <m/>
    <m/>
    <m/>
    <n v="22.93"/>
    <m/>
    <m/>
    <x v="0"/>
    <n v="0"/>
    <s v="Promotion"/>
    <s v="VIP VLNG HILLS ARR.10-04"/>
    <m/>
  </r>
  <r>
    <x v="9"/>
    <x v="0"/>
    <m/>
    <m/>
    <m/>
    <m/>
    <m/>
    <n v="6.95"/>
    <m/>
    <m/>
    <x v="0"/>
    <n v="0"/>
    <s v="Promotion"/>
    <s v="VIP HR BAPTISTE ARR.10-04"/>
    <m/>
  </r>
  <r>
    <x v="9"/>
    <x v="0"/>
    <m/>
    <m/>
    <m/>
    <m/>
    <m/>
    <n v="13.24"/>
    <m/>
    <m/>
    <x v="0"/>
    <n v="0"/>
    <s v="Promotion"/>
    <s v="VIP SALES COSETTE ARR.12-04"/>
    <m/>
  </r>
  <r>
    <x v="9"/>
    <x v="0"/>
    <m/>
    <m/>
    <m/>
    <m/>
    <m/>
    <n v="37.5"/>
    <m/>
    <m/>
    <x v="0"/>
    <n v="0"/>
    <s v="Promotion"/>
    <s v="VIP RELIG LIAR R.228"/>
    <m/>
  </r>
  <r>
    <x v="9"/>
    <x v="0"/>
    <m/>
    <m/>
    <m/>
    <m/>
    <m/>
    <n v="51.48"/>
    <m/>
    <m/>
    <x v="0"/>
    <n v="0"/>
    <s v="Promotion"/>
    <s v="VIP RELIG SANTOPADRE R.622"/>
    <m/>
  </r>
  <r>
    <x v="9"/>
    <x v="0"/>
    <m/>
    <m/>
    <m/>
    <m/>
    <m/>
    <n v="51.48"/>
    <m/>
    <m/>
    <x v="0"/>
    <n v="0"/>
    <s v="Promotion"/>
    <s v="VIP RELIG LAIBERTE R.234"/>
    <m/>
  </r>
  <r>
    <x v="9"/>
    <x v="0"/>
    <m/>
    <m/>
    <m/>
    <m/>
    <m/>
    <n v="51.48"/>
    <m/>
    <m/>
    <x v="0"/>
    <n v="0"/>
    <s v="Promotion"/>
    <s v="VIP RELIG SIAMRD R.326"/>
    <m/>
  </r>
  <r>
    <x v="9"/>
    <x v="0"/>
    <m/>
    <m/>
    <m/>
    <m/>
    <m/>
    <n v="51.48"/>
    <m/>
    <m/>
    <x v="0"/>
    <n v="0"/>
    <s v="Promotion"/>
    <s v="VIP RELIG GOUDREAUT R.240"/>
    <m/>
  </r>
  <r>
    <x v="9"/>
    <x v="0"/>
    <m/>
    <m/>
    <m/>
    <m/>
    <m/>
    <n v="35.5"/>
    <m/>
    <m/>
    <x v="0"/>
    <n v="0"/>
    <s v="Promotion"/>
    <s v="VIP RELIG BLANCO R.206"/>
    <m/>
  </r>
  <r>
    <x v="9"/>
    <x v="0"/>
    <m/>
    <m/>
    <m/>
    <m/>
    <m/>
    <n v="35.5"/>
    <m/>
    <m/>
    <x v="0"/>
    <n v="0"/>
    <s v="Promotion"/>
    <s v="VIP RELIG JARAMILLO R.345"/>
    <m/>
  </r>
  <r>
    <x v="9"/>
    <x v="0"/>
    <m/>
    <m/>
    <m/>
    <m/>
    <m/>
    <n v="35.5"/>
    <m/>
    <m/>
    <x v="0"/>
    <n v="0"/>
    <s v="Promotion"/>
    <s v="VIP RELIG SEITZ R.223"/>
    <m/>
  </r>
  <r>
    <x v="9"/>
    <x v="0"/>
    <m/>
    <m/>
    <m/>
    <m/>
    <m/>
    <n v="35.5"/>
    <m/>
    <m/>
    <x v="0"/>
    <n v="0"/>
    <s v="Promotion"/>
    <s v="VIP RELIG MENESEE R.220"/>
    <m/>
  </r>
  <r>
    <x v="9"/>
    <x v="0"/>
    <m/>
    <m/>
    <m/>
    <m/>
    <m/>
    <n v="35.5"/>
    <m/>
    <m/>
    <x v="0"/>
    <n v="0"/>
    <s v="Promotion"/>
    <s v="VIP RELIG FABRE R.221"/>
    <m/>
  </r>
  <r>
    <x v="9"/>
    <x v="0"/>
    <m/>
    <m/>
    <m/>
    <m/>
    <m/>
    <n v="35.5"/>
    <m/>
    <m/>
    <x v="0"/>
    <n v="0"/>
    <s v="Promotion"/>
    <s v="VIP RELIG BATAZZI R.224"/>
    <m/>
  </r>
  <r>
    <x v="9"/>
    <x v="0"/>
    <m/>
    <m/>
    <m/>
    <m/>
    <m/>
    <n v="37.5"/>
    <m/>
    <m/>
    <x v="0"/>
    <n v="0"/>
    <s v="Promotion"/>
    <s v="VIP RELIG STARK R.620"/>
    <m/>
  </r>
  <r>
    <x v="9"/>
    <x v="0"/>
    <m/>
    <m/>
    <m/>
    <m/>
    <m/>
    <n v="37.5"/>
    <m/>
    <m/>
    <x v="0"/>
    <n v="0"/>
    <s v="Promotion"/>
    <s v="VIP RELIG CORBETR.603"/>
    <m/>
  </r>
  <r>
    <x v="9"/>
    <x v="0"/>
    <m/>
    <m/>
    <m/>
    <m/>
    <m/>
    <n v="37.5"/>
    <m/>
    <m/>
    <x v="0"/>
    <n v="0"/>
    <s v="Promotion"/>
    <s v="VIP RELIG  CAHILL R.235"/>
    <m/>
  </r>
  <r>
    <x v="9"/>
    <x v="0"/>
    <m/>
    <m/>
    <m/>
    <m/>
    <m/>
    <n v="73.48"/>
    <m/>
    <m/>
    <x v="0"/>
    <n v="0"/>
    <s v="Promotion"/>
    <s v="VIP CARDINAL - RELIG R.232"/>
    <m/>
  </r>
  <r>
    <x v="9"/>
    <x v="1"/>
    <n v="125.53"/>
    <m/>
    <m/>
    <m/>
    <m/>
    <m/>
    <m/>
    <n v="18.41"/>
    <x v="0"/>
    <n v="0"/>
    <s v="Promotion"/>
    <s v="YULLS REUNION BEAUBONNET"/>
    <m/>
  </r>
  <r>
    <x v="10"/>
    <x v="0"/>
    <n v="17"/>
    <m/>
    <m/>
    <m/>
    <m/>
    <n v="6"/>
    <m/>
    <n v="3.45"/>
    <x v="1"/>
    <n v="0"/>
    <s v="Administration"/>
    <s v="REPAS AUDITEUR"/>
    <m/>
  </r>
  <r>
    <x v="10"/>
    <x v="0"/>
    <n v="3.5"/>
    <m/>
    <m/>
    <m/>
    <m/>
    <m/>
    <m/>
    <n v="0.53"/>
    <x v="1"/>
    <n v="0"/>
    <s v="Administration"/>
    <s v="AUDITEUR"/>
    <m/>
  </r>
  <r>
    <x v="10"/>
    <x v="0"/>
    <n v="19.95"/>
    <m/>
    <m/>
    <m/>
    <m/>
    <n v="6"/>
    <m/>
    <n v="3.89"/>
    <x v="1"/>
    <n v="0"/>
    <s v="Administration"/>
    <s v="REPAS AUDITEUR"/>
    <m/>
  </r>
  <r>
    <x v="10"/>
    <x v="0"/>
    <m/>
    <m/>
    <m/>
    <m/>
    <m/>
    <n v="15.49"/>
    <m/>
    <m/>
    <x v="0"/>
    <n v="0"/>
    <s v="Promotion"/>
    <s v="VIP SALES VENNEAU ARR.11-08"/>
    <m/>
  </r>
  <r>
    <x v="10"/>
    <x v="0"/>
    <m/>
    <m/>
    <m/>
    <m/>
    <m/>
    <n v="74.14"/>
    <m/>
    <m/>
    <x v="0"/>
    <n v="0"/>
    <s v="Promotion"/>
    <s v="VIP SALES GODIN ARR.11-04"/>
    <m/>
  </r>
  <r>
    <x v="10"/>
    <x v="0"/>
    <m/>
    <m/>
    <m/>
    <m/>
    <m/>
    <n v="6.95"/>
    <m/>
    <m/>
    <x v="0"/>
    <n v="0"/>
    <s v="Promotion"/>
    <s v="VIP POINT RACETTE ARRR.11-04"/>
    <m/>
  </r>
  <r>
    <x v="10"/>
    <x v="0"/>
    <m/>
    <m/>
    <m/>
    <m/>
    <m/>
    <n v="19.489999999999998"/>
    <m/>
    <m/>
    <x v="0"/>
    <n v="0"/>
    <s v="Promotion"/>
    <s v="VIP HR COSSETTE ARR.11-04"/>
    <m/>
  </r>
  <r>
    <x v="10"/>
    <x v="0"/>
    <m/>
    <m/>
    <m/>
    <m/>
    <m/>
    <n v="6.95"/>
    <m/>
    <m/>
    <x v="0"/>
    <n v="0"/>
    <s v="Promotion"/>
    <s v="VIP POINT DESROSIERS AR.11-04"/>
    <m/>
  </r>
  <r>
    <x v="10"/>
    <x v="0"/>
    <m/>
    <m/>
    <m/>
    <m/>
    <m/>
    <n v="6.95"/>
    <m/>
    <m/>
    <x v="0"/>
    <n v="0"/>
    <s v="Promotion"/>
    <s v="VIP POINNT DELSON ARR.11-04"/>
    <m/>
  </r>
  <r>
    <x v="10"/>
    <x v="1"/>
    <n v="18"/>
    <m/>
    <m/>
    <m/>
    <m/>
    <m/>
    <m/>
    <n v="2.7"/>
    <x v="0"/>
    <n v="0"/>
    <s v="Promotion"/>
    <s v="OFFERT FETE GROUPE"/>
    <m/>
  </r>
  <r>
    <x v="10"/>
    <x v="0"/>
    <m/>
    <m/>
    <m/>
    <m/>
    <m/>
    <n v="29.49"/>
    <m/>
    <m/>
    <x v="0"/>
    <n v="0"/>
    <s v="Promotion"/>
    <s v="VIM AMBAS VOLLANT ARR.11-04"/>
    <m/>
  </r>
  <r>
    <x v="10"/>
    <x v="0"/>
    <m/>
    <m/>
    <m/>
    <m/>
    <m/>
    <n v="6.95"/>
    <m/>
    <m/>
    <x v="0"/>
    <n v="0"/>
    <s v="Promotion"/>
    <s v="VIP HR PLOUFFE ARR.11-04"/>
    <m/>
  </r>
  <r>
    <x v="10"/>
    <x v="0"/>
    <m/>
    <m/>
    <m/>
    <m/>
    <m/>
    <n v="19.989999999999998"/>
    <m/>
    <m/>
    <x v="0"/>
    <n v="0"/>
    <s v="Promotion"/>
    <s v="VIP AMBAS BITAR ARR.13-004"/>
    <m/>
  </r>
  <r>
    <x v="10"/>
    <x v="0"/>
    <m/>
    <m/>
    <m/>
    <m/>
    <m/>
    <n v="9.99"/>
    <m/>
    <m/>
    <x v="0"/>
    <n v="0"/>
    <s v="Promotion"/>
    <s v="VIP HR SAVARD ARR11-04"/>
    <m/>
  </r>
  <r>
    <x v="10"/>
    <x v="0"/>
    <m/>
    <m/>
    <m/>
    <m/>
    <m/>
    <n v="6.95"/>
    <m/>
    <m/>
    <x v="0"/>
    <n v="0"/>
    <s v="Promotion"/>
    <s v="VUP HR BUSSIERE ARR.11-04"/>
    <m/>
  </r>
  <r>
    <x v="10"/>
    <x v="0"/>
    <m/>
    <m/>
    <m/>
    <m/>
    <m/>
    <n v="26.94"/>
    <m/>
    <m/>
    <x v="0"/>
    <n v="0"/>
    <s v="Promotion"/>
    <s v="VIP VLNG DICKEY ARR.04"/>
    <m/>
  </r>
  <r>
    <x v="10"/>
    <x v="0"/>
    <m/>
    <m/>
    <m/>
    <m/>
    <m/>
    <n v="19.989999999999998"/>
    <m/>
    <m/>
    <x v="0"/>
    <n v="0"/>
    <s v="Promotion"/>
    <s v="VIP AMBAS RPYCE ARR13-04"/>
    <m/>
  </r>
  <r>
    <x v="10"/>
    <x v="1"/>
    <n v="116"/>
    <n v="26.5"/>
    <m/>
    <n v="56"/>
    <m/>
    <m/>
    <m/>
    <n v="29.78"/>
    <x v="0"/>
    <n v="0"/>
    <s v="Promotion"/>
    <s v="MUSICIENS"/>
    <m/>
  </r>
  <r>
    <x v="10"/>
    <x v="0"/>
    <m/>
    <m/>
    <m/>
    <m/>
    <m/>
    <n v="26.94"/>
    <m/>
    <m/>
    <x v="0"/>
    <n v="0"/>
    <s v="Promotion"/>
    <s v="VIP VLNG TAILOR ARR.11-04"/>
    <m/>
  </r>
  <r>
    <x v="11"/>
    <x v="0"/>
    <n v="8"/>
    <m/>
    <m/>
    <m/>
    <m/>
    <m/>
    <m/>
    <n v="1.2"/>
    <x v="1"/>
    <n v="0"/>
    <s v="Administration"/>
    <s v="NIKOLETTA"/>
    <m/>
  </r>
  <r>
    <x v="11"/>
    <x v="0"/>
    <n v="6"/>
    <m/>
    <m/>
    <m/>
    <m/>
    <m/>
    <m/>
    <m/>
    <x v="1"/>
    <n v="0"/>
    <s v="Administration"/>
    <s v="NIKOLETTA"/>
    <m/>
  </r>
  <r>
    <x v="11"/>
    <x v="0"/>
    <n v="6"/>
    <m/>
    <m/>
    <m/>
    <m/>
    <m/>
    <m/>
    <m/>
    <x v="1"/>
    <n v="0"/>
    <s v="Administration"/>
    <s v="KHALIL"/>
    <m/>
  </r>
  <r>
    <x v="11"/>
    <x v="0"/>
    <n v="9"/>
    <m/>
    <m/>
    <m/>
    <m/>
    <m/>
    <m/>
    <n v="1.35"/>
    <x v="1"/>
    <n v="0"/>
    <s v="Administration"/>
    <s v="ANTONIO"/>
    <m/>
  </r>
  <r>
    <x v="11"/>
    <x v="1"/>
    <n v="25"/>
    <m/>
    <m/>
    <m/>
    <m/>
    <m/>
    <m/>
    <m/>
    <x v="1"/>
    <n v="0"/>
    <s v="Administration"/>
    <s v="VAL"/>
    <m/>
  </r>
  <r>
    <x v="11"/>
    <x v="1"/>
    <n v="101"/>
    <m/>
    <m/>
    <m/>
    <n v="8.5"/>
    <m/>
    <m/>
    <n v="16.43"/>
    <x v="0"/>
    <n v="0"/>
    <s v="Promotion"/>
    <s v="MUSCIENNE"/>
    <m/>
  </r>
  <r>
    <x v="11"/>
    <x v="1"/>
    <n v="22"/>
    <m/>
    <m/>
    <m/>
    <m/>
    <m/>
    <m/>
    <n v="3.3"/>
    <x v="0"/>
    <n v="0"/>
    <s v="Promotion"/>
    <s v="ELITE AMBASSADEUR"/>
    <m/>
  </r>
  <r>
    <x v="12"/>
    <x v="0"/>
    <m/>
    <m/>
    <m/>
    <m/>
    <m/>
    <n v="13.25"/>
    <m/>
    <m/>
    <x v="0"/>
    <n v="0"/>
    <s v="Promotion"/>
    <s v="OK MORGANE"/>
    <m/>
  </r>
  <r>
    <x v="12"/>
    <x v="0"/>
    <n v="14.95"/>
    <m/>
    <m/>
    <m/>
    <m/>
    <m/>
    <m/>
    <m/>
    <x v="1"/>
    <n v="0"/>
    <s v="Administration"/>
    <s v="MORGANE"/>
    <m/>
  </r>
  <r>
    <x v="12"/>
    <x v="0"/>
    <m/>
    <m/>
    <m/>
    <m/>
    <m/>
    <n v="14.25"/>
    <m/>
    <n v="2.13"/>
    <x v="1"/>
    <n v="0"/>
    <s v="Administration"/>
    <s v="DSD"/>
    <m/>
  </r>
  <r>
    <x v="12"/>
    <x v="0"/>
    <n v="8.5"/>
    <m/>
    <m/>
    <m/>
    <m/>
    <m/>
    <m/>
    <n v="1.28"/>
    <x v="1"/>
    <n v="0"/>
    <s v="Administration"/>
    <s v="ROULA"/>
    <m/>
  </r>
  <r>
    <x v="12"/>
    <x v="0"/>
    <n v="20.95"/>
    <m/>
    <m/>
    <m/>
    <m/>
    <n v="4.25"/>
    <m/>
    <n v="3.78"/>
    <x v="1"/>
    <n v="0"/>
    <s v="Administration"/>
    <s v="REPAS AUDITEUR"/>
    <m/>
  </r>
  <r>
    <x v="12"/>
    <x v="0"/>
    <n v="21.45"/>
    <m/>
    <m/>
    <m/>
    <m/>
    <n v="2.5"/>
    <m/>
    <n v="3.59"/>
    <x v="1"/>
    <n v="0"/>
    <s v="Administration"/>
    <s v="KHALIL"/>
    <m/>
  </r>
  <r>
    <x v="12"/>
    <x v="0"/>
    <n v="6"/>
    <m/>
    <m/>
    <m/>
    <m/>
    <m/>
    <m/>
    <n v="0.9"/>
    <x v="1"/>
    <n v="0"/>
    <s v="Administration"/>
    <s v="NIKOLETTA"/>
    <m/>
  </r>
  <r>
    <x v="12"/>
    <x v="0"/>
    <n v="18.95"/>
    <m/>
    <m/>
    <m/>
    <m/>
    <m/>
    <m/>
    <n v="2.84"/>
    <x v="1"/>
    <n v="0"/>
    <s v="Administration"/>
    <s v="LUNCH MORGANE"/>
    <m/>
  </r>
  <r>
    <x v="12"/>
    <x v="1"/>
    <n v="83.5"/>
    <m/>
    <m/>
    <m/>
    <m/>
    <n v="7"/>
    <m/>
    <n v="10.86"/>
    <x v="1"/>
    <n v="0"/>
    <s v="Administration"/>
    <s v="NELSON ET ROULA"/>
    <m/>
  </r>
  <r>
    <x v="13"/>
    <x v="1"/>
    <n v="55"/>
    <m/>
    <m/>
    <m/>
    <m/>
    <m/>
    <m/>
    <n v="8.25"/>
    <x v="0"/>
    <n v="0"/>
    <s v="Promotion"/>
    <s v="M.BELANGER"/>
    <m/>
  </r>
  <r>
    <x v="13"/>
    <x v="1"/>
    <m/>
    <n v="7"/>
    <m/>
    <m/>
    <m/>
    <m/>
    <m/>
    <n v="1.05"/>
    <x v="0"/>
    <n v="0"/>
    <s v="Promotion"/>
    <s v="OFFERT PAR NELSON"/>
    <m/>
  </r>
  <r>
    <x v="13"/>
    <x v="1"/>
    <n v="13.25"/>
    <m/>
    <m/>
    <m/>
    <n v="7"/>
    <m/>
    <m/>
    <n v="3.04"/>
    <x v="0"/>
    <n v="0"/>
    <s v="Promotion"/>
    <s v="NADIA"/>
    <m/>
  </r>
  <r>
    <x v="13"/>
    <x v="1"/>
    <n v="318.75"/>
    <n v="10"/>
    <m/>
    <n v="84"/>
    <n v="14"/>
    <m/>
    <m/>
    <n v="64.010000000000005"/>
    <x v="0"/>
    <n v="0"/>
    <s v="Promotion"/>
    <s v="CASADITALIA"/>
    <m/>
  </r>
  <r>
    <x v="13"/>
    <x v="0"/>
    <m/>
    <m/>
    <m/>
    <m/>
    <m/>
    <n v="19.940000000000001"/>
    <m/>
    <m/>
    <x v="0"/>
    <n v="0"/>
    <s v="Promotion"/>
    <s v="VIP VLNG GARETT ARR.14-04"/>
    <m/>
  </r>
  <r>
    <x v="13"/>
    <x v="0"/>
    <m/>
    <m/>
    <m/>
    <m/>
    <m/>
    <n v="19.940000000000001"/>
    <m/>
    <m/>
    <x v="0"/>
    <n v="0"/>
    <s v="Promotion"/>
    <s v="VIP VLNG HARRIS ARR.14-04"/>
    <m/>
  </r>
  <r>
    <x v="13"/>
    <x v="0"/>
    <m/>
    <m/>
    <m/>
    <m/>
    <m/>
    <n v="6.95"/>
    <m/>
    <m/>
    <x v="0"/>
    <n v="0"/>
    <s v="Promotion"/>
    <s v="VIP HE BANKS ARR.14-04"/>
    <m/>
  </r>
  <r>
    <x v="13"/>
    <x v="0"/>
    <m/>
    <m/>
    <m/>
    <m/>
    <m/>
    <n v="6.95"/>
    <m/>
    <m/>
    <x v="0"/>
    <n v="0"/>
    <s v="Promotion"/>
    <s v="VIP HR ORWIG ARR.14-04"/>
    <m/>
  </r>
  <r>
    <x v="13"/>
    <x v="0"/>
    <m/>
    <m/>
    <m/>
    <m/>
    <m/>
    <n v="6.95"/>
    <m/>
    <m/>
    <x v="0"/>
    <n v="0"/>
    <s v="Promotion"/>
    <s v="VIP POINT JACKSON ARR.14-04"/>
    <m/>
  </r>
  <r>
    <x v="13"/>
    <x v="0"/>
    <m/>
    <m/>
    <m/>
    <m/>
    <m/>
    <n v="7.25"/>
    <m/>
    <m/>
    <x v="0"/>
    <n v="0"/>
    <s v="Promotion"/>
    <s v="VIP HR KAMAL ARR.15-04"/>
    <m/>
  </r>
  <r>
    <x v="13"/>
    <x v="0"/>
    <m/>
    <m/>
    <m/>
    <m/>
    <m/>
    <n v="7.25"/>
    <m/>
    <m/>
    <x v="0"/>
    <n v="0"/>
    <s v="Promotion"/>
    <s v="VIP HR MICHEAL AEE.14-04"/>
    <m/>
  </r>
  <r>
    <x v="13"/>
    <x v="0"/>
    <m/>
    <m/>
    <m/>
    <m/>
    <m/>
    <n v="7.25"/>
    <m/>
    <m/>
    <x v="0"/>
    <n v="0"/>
    <s v="Promotion"/>
    <s v="VIP HR PASH ARR.15-04"/>
    <m/>
  </r>
  <r>
    <x v="13"/>
    <x v="0"/>
    <m/>
    <m/>
    <m/>
    <m/>
    <m/>
    <n v="7.25"/>
    <m/>
    <m/>
    <x v="0"/>
    <n v="0"/>
    <s v="Promotion"/>
    <s v="VIP HR LIU ARR.15-04"/>
    <m/>
  </r>
  <r>
    <x v="13"/>
    <x v="0"/>
    <m/>
    <m/>
    <m/>
    <m/>
    <m/>
    <n v="7.25"/>
    <m/>
    <m/>
    <x v="0"/>
    <n v="0"/>
    <s v="Promotion"/>
    <s v="VIP HR MOSHELLA ARR.05-04"/>
    <m/>
  </r>
  <r>
    <x v="13"/>
    <x v="0"/>
    <m/>
    <m/>
    <m/>
    <m/>
    <m/>
    <n v="34.99"/>
    <m/>
    <m/>
    <x v="0"/>
    <n v="0"/>
    <s v="Promotion"/>
    <s v="VIP SALES LAGACE ARR.15-04"/>
    <m/>
  </r>
  <r>
    <x v="13"/>
    <x v="0"/>
    <m/>
    <m/>
    <m/>
    <m/>
    <m/>
    <n v="34.99"/>
    <m/>
    <m/>
    <x v="0"/>
    <n v="0"/>
    <s v="Promotion"/>
    <s v="VIP SALES RODRIGUEZ ARR.15-04"/>
    <m/>
  </r>
  <r>
    <x v="13"/>
    <x v="0"/>
    <m/>
    <m/>
    <m/>
    <m/>
    <m/>
    <n v="34.99"/>
    <m/>
    <m/>
    <x v="0"/>
    <n v="0"/>
    <s v="Promotion"/>
    <s v="VIP SALES DUSFRESNE ARR.15-04"/>
    <m/>
  </r>
  <r>
    <x v="13"/>
    <x v="0"/>
    <m/>
    <m/>
    <m/>
    <m/>
    <m/>
    <n v="37.5"/>
    <m/>
    <m/>
    <x v="0"/>
    <n v="0"/>
    <s v="Promotion"/>
    <s v="VIP EXEC RODRIGUEX ARR.14-04"/>
    <m/>
  </r>
  <r>
    <x v="13"/>
    <x v="0"/>
    <m/>
    <m/>
    <m/>
    <m/>
    <m/>
    <n v="5.99"/>
    <m/>
    <m/>
    <x v="0"/>
    <n v="0"/>
    <s v="Promotion"/>
    <s v="VIP VENTE RAGBER ARR.14-04"/>
    <m/>
  </r>
  <r>
    <x v="12"/>
    <x v="1"/>
    <n v="83.5"/>
    <m/>
    <m/>
    <m/>
    <m/>
    <n v="7"/>
    <m/>
    <n v="10.86"/>
    <x v="1"/>
    <n v="0"/>
    <s v="Administration"/>
    <s v="NELSON ET ROULA"/>
    <m/>
  </r>
  <r>
    <x v="13"/>
    <x v="1"/>
    <n v="22"/>
    <m/>
    <m/>
    <m/>
    <n v="26.25"/>
    <m/>
    <m/>
    <n v="5.79"/>
    <x v="1"/>
    <n v="0"/>
    <s v="Administration"/>
    <s v="NATALIA MEETING"/>
    <m/>
  </r>
  <r>
    <x v="13"/>
    <x v="1"/>
    <n v="203"/>
    <n v="30"/>
    <m/>
    <m/>
    <n v="18.25"/>
    <m/>
    <m/>
    <n v="30.15"/>
    <x v="1"/>
    <n v="0"/>
    <s v="Administration"/>
    <s v="NELSON MR MEUNIER"/>
    <m/>
  </r>
  <r>
    <x v="13"/>
    <x v="0"/>
    <n v="7"/>
    <m/>
    <m/>
    <m/>
    <m/>
    <m/>
    <m/>
    <n v="1.05"/>
    <x v="1"/>
    <n v="0"/>
    <s v="Administration"/>
    <s v="LYDIA FRONT DESK"/>
    <m/>
  </r>
  <r>
    <x v="14"/>
    <x v="0"/>
    <m/>
    <m/>
    <m/>
    <m/>
    <m/>
    <n v="7.25"/>
    <m/>
    <m/>
    <x v="0"/>
    <n v="0"/>
    <s v="Promotion"/>
    <s v="VIP HR BOBEIL"/>
    <m/>
  </r>
  <r>
    <x v="14"/>
    <x v="0"/>
    <m/>
    <m/>
    <m/>
    <m/>
    <m/>
    <n v="7.25"/>
    <m/>
    <m/>
    <x v="0"/>
    <n v="0"/>
    <s v="Promotion"/>
    <s v="VIP HR JULIEN"/>
    <m/>
  </r>
  <r>
    <x v="14"/>
    <x v="0"/>
    <m/>
    <m/>
    <m/>
    <m/>
    <m/>
    <n v="7.25"/>
    <m/>
    <m/>
    <x v="0"/>
    <n v="0"/>
    <s v="Promotion"/>
    <s v="VIP HR SHELKOVYY"/>
    <m/>
  </r>
  <r>
    <x v="14"/>
    <x v="0"/>
    <m/>
    <m/>
    <m/>
    <m/>
    <m/>
    <n v="7.25"/>
    <m/>
    <m/>
    <x v="0"/>
    <n v="0"/>
    <s v="Promotion"/>
    <s v="VIP HR OCCONNOR"/>
    <m/>
  </r>
  <r>
    <x v="14"/>
    <x v="0"/>
    <m/>
    <m/>
    <m/>
    <m/>
    <m/>
    <n v="7.25"/>
    <m/>
    <m/>
    <x v="0"/>
    <n v="0"/>
    <s v="Promotion"/>
    <s v="VIP HR COUTEANCHE"/>
    <m/>
  </r>
  <r>
    <x v="14"/>
    <x v="0"/>
    <m/>
    <m/>
    <m/>
    <m/>
    <m/>
    <n v="7.25"/>
    <m/>
    <m/>
    <x v="0"/>
    <n v="0"/>
    <s v="Promotion"/>
    <s v="VIP HR THIBERT"/>
    <m/>
  </r>
  <r>
    <x v="14"/>
    <x v="0"/>
    <m/>
    <m/>
    <m/>
    <m/>
    <m/>
    <n v="7.25"/>
    <m/>
    <m/>
    <x v="0"/>
    <n v="0"/>
    <s v="Promotion"/>
    <s v=" VIP HR LIARD "/>
    <m/>
  </r>
  <r>
    <x v="14"/>
    <x v="0"/>
    <m/>
    <m/>
    <m/>
    <m/>
    <m/>
    <n v="7.25"/>
    <m/>
    <m/>
    <x v="0"/>
    <n v="0"/>
    <s v="Promotion"/>
    <s v=" VIP HR MELNYK"/>
    <m/>
  </r>
  <r>
    <x v="14"/>
    <x v="0"/>
    <m/>
    <m/>
    <m/>
    <m/>
    <m/>
    <n v="7.25"/>
    <m/>
    <m/>
    <x v="0"/>
    <n v="0"/>
    <s v="Promotion"/>
    <s v=" VIP HR AMON"/>
    <m/>
  </r>
  <r>
    <x v="14"/>
    <x v="0"/>
    <m/>
    <m/>
    <m/>
    <m/>
    <m/>
    <n v="7.25"/>
    <m/>
    <m/>
    <x v="0"/>
    <n v="0"/>
    <s v="Promotion"/>
    <s v=" VIP HR NILSSON"/>
    <m/>
  </r>
  <r>
    <x v="14"/>
    <x v="0"/>
    <m/>
    <m/>
    <m/>
    <m/>
    <m/>
    <n v="7.25"/>
    <m/>
    <m/>
    <x v="0"/>
    <n v="0"/>
    <s v="Promotion"/>
    <s v="VIP HR LAPOINTE"/>
    <m/>
  </r>
  <r>
    <x v="14"/>
    <x v="0"/>
    <m/>
    <m/>
    <m/>
    <m/>
    <m/>
    <n v="7.25"/>
    <m/>
    <m/>
    <x v="0"/>
    <n v="0"/>
    <s v="Promotion"/>
    <s v=" VIP HR LABELLE"/>
    <m/>
  </r>
  <r>
    <x v="14"/>
    <x v="0"/>
    <m/>
    <m/>
    <m/>
    <m/>
    <m/>
    <n v="7.25"/>
    <m/>
    <m/>
    <x v="0"/>
    <n v="0"/>
    <s v="Promotion"/>
    <s v=" VIP HR FLAMAND"/>
    <m/>
  </r>
  <r>
    <x v="14"/>
    <x v="0"/>
    <m/>
    <m/>
    <m/>
    <m/>
    <m/>
    <n v="7.25"/>
    <m/>
    <m/>
    <x v="0"/>
    <n v="0"/>
    <s v="Administration"/>
    <s v=" VIP POINTS PISANO"/>
    <m/>
  </r>
  <r>
    <x v="14"/>
    <x v="0"/>
    <m/>
    <m/>
    <m/>
    <m/>
    <m/>
    <n v="6"/>
    <m/>
    <n v="0.9"/>
    <x v="1"/>
    <n v="0"/>
    <s v="Administration"/>
    <s v="AUDITEUR"/>
    <m/>
  </r>
  <r>
    <x v="14"/>
    <x v="0"/>
    <m/>
    <m/>
    <m/>
    <m/>
    <m/>
    <n v="6.75"/>
    <m/>
    <m/>
    <x v="1"/>
    <n v="0"/>
    <s v="Administration"/>
    <s v="KHALIL"/>
    <m/>
  </r>
  <r>
    <x v="14"/>
    <x v="0"/>
    <m/>
    <m/>
    <m/>
    <m/>
    <m/>
    <n v="10.25"/>
    <m/>
    <n v="1.53"/>
    <x v="1"/>
    <n v="0"/>
    <s v="Administration"/>
    <s v="LYDIA FRONT DESK"/>
    <m/>
  </r>
  <r>
    <x v="14"/>
    <x v="0"/>
    <m/>
    <m/>
    <m/>
    <m/>
    <m/>
    <n v="17.75"/>
    <m/>
    <n v="2.13"/>
    <x v="1"/>
    <n v="0"/>
    <s v="Administration"/>
    <s v="LIDIA ET NIKOLETA"/>
    <m/>
  </r>
  <r>
    <x v="14"/>
    <x v="1"/>
    <n v="195"/>
    <m/>
    <m/>
    <m/>
    <n v="21"/>
    <m/>
    <m/>
    <n v="25.92"/>
    <x v="1"/>
    <n v="0"/>
    <s v="Administration"/>
    <s v=" ROULA MELISSA"/>
    <m/>
  </r>
  <r>
    <x v="14"/>
    <x v="0"/>
    <m/>
    <m/>
    <m/>
    <m/>
    <m/>
    <n v="22.45"/>
    <m/>
    <n v="2.7"/>
    <x v="1"/>
    <n v="0"/>
    <s v="Administration"/>
    <s v="THANEEKAN"/>
    <m/>
  </r>
  <r>
    <x v="14"/>
    <x v="0"/>
    <m/>
    <m/>
    <m/>
    <m/>
    <m/>
    <n v="12.95"/>
    <m/>
    <m/>
    <x v="1"/>
    <n v="0"/>
    <s v="Administration"/>
    <s v="STAFF DRAGANA"/>
    <m/>
  </r>
  <r>
    <x v="14"/>
    <x v="0"/>
    <m/>
    <m/>
    <m/>
    <m/>
    <m/>
    <n v="4.75"/>
    <m/>
    <n v="0.6"/>
    <x v="1"/>
    <n v="0"/>
    <s v="Administration"/>
    <s v="CHEF DAVE"/>
    <m/>
  </r>
  <r>
    <x v="14"/>
    <x v="0"/>
    <m/>
    <m/>
    <m/>
    <m/>
    <m/>
    <n v="16"/>
    <m/>
    <n v="1.9"/>
    <x v="1"/>
    <n v="0"/>
    <s v="Administration"/>
    <s v="NATALIA"/>
    <m/>
  </r>
  <r>
    <x v="15"/>
    <x v="0"/>
    <n v="47.9"/>
    <m/>
    <m/>
    <m/>
    <m/>
    <m/>
    <m/>
    <n v="7.18"/>
    <x v="1"/>
    <n v="0"/>
    <s v="Administration"/>
    <s v="MORGANE ET NICOLETTA"/>
    <m/>
  </r>
  <r>
    <x v="15"/>
    <x v="0"/>
    <n v="19.7"/>
    <m/>
    <m/>
    <m/>
    <m/>
    <m/>
    <m/>
    <n v="2.96"/>
    <x v="1"/>
    <n v="0"/>
    <s v="Administration"/>
    <s v="KHALIL"/>
    <m/>
  </r>
  <r>
    <x v="15"/>
    <x v="0"/>
    <n v="23.96"/>
    <m/>
    <m/>
    <m/>
    <m/>
    <n v="31.67"/>
    <m/>
    <m/>
    <x v="1"/>
    <n v="0"/>
    <s v="Administration"/>
    <s v="MR BOURBONNAIS"/>
    <m/>
  </r>
  <r>
    <x v="15"/>
    <x v="0"/>
    <n v="6"/>
    <m/>
    <m/>
    <m/>
    <m/>
    <m/>
    <m/>
    <n v="0.9"/>
    <x v="1"/>
    <n v="0"/>
    <s v="Administration"/>
    <s v="ROULA"/>
    <m/>
  </r>
  <r>
    <x v="15"/>
    <x v="0"/>
    <n v="11.5"/>
    <m/>
    <m/>
    <m/>
    <m/>
    <m/>
    <m/>
    <n v="1.73"/>
    <x v="1"/>
    <n v="0"/>
    <s v="Administration"/>
    <s v="ROULA ET ANNIE-EVE"/>
    <m/>
  </r>
  <r>
    <x v="15"/>
    <x v="0"/>
    <n v="22.75"/>
    <m/>
    <m/>
    <m/>
    <m/>
    <m/>
    <m/>
    <n v="3.41"/>
    <x v="1"/>
    <n v="0"/>
    <s v="Administration"/>
    <s v="JESSICA"/>
    <m/>
  </r>
  <r>
    <x v="15"/>
    <x v="1"/>
    <n v="291.25"/>
    <m/>
    <m/>
    <m/>
    <n v="42"/>
    <m/>
    <m/>
    <n v="49.99"/>
    <x v="1"/>
    <n v="0"/>
    <s v="Administration"/>
    <s v="M.MEUNIER"/>
    <m/>
  </r>
  <r>
    <x v="15"/>
    <x v="0"/>
    <n v="16.45"/>
    <m/>
    <m/>
    <m/>
    <m/>
    <m/>
    <m/>
    <n v="2"/>
    <x v="1"/>
    <n v="0"/>
    <s v="Administration"/>
    <s v="LYDIA"/>
    <m/>
  </r>
  <r>
    <x v="15"/>
    <x v="0"/>
    <n v="9.5"/>
    <m/>
    <m/>
    <m/>
    <m/>
    <m/>
    <m/>
    <n v="1.1499999999999999"/>
    <x v="1"/>
    <n v="0"/>
    <s v="Administration"/>
    <s v="LES CHEFS"/>
    <m/>
  </r>
  <r>
    <x v="15"/>
    <x v="0"/>
    <m/>
    <m/>
    <m/>
    <m/>
    <m/>
    <n v="8.5"/>
    <m/>
    <n v="1.28"/>
    <x v="1"/>
    <n v="0"/>
    <s v="Administration"/>
    <s v="LYDIA"/>
    <m/>
  </r>
  <r>
    <x v="15"/>
    <x v="1"/>
    <n v="43.95"/>
    <m/>
    <m/>
    <m/>
    <n v="12.75"/>
    <m/>
    <m/>
    <n v="7"/>
    <x v="1"/>
    <n v="0"/>
    <s v="Administration"/>
    <s v="CLARA RENCONTRE"/>
    <m/>
  </r>
  <r>
    <x v="15"/>
    <x v="1"/>
    <n v="28.75"/>
    <m/>
    <m/>
    <m/>
    <m/>
    <m/>
    <m/>
    <n v="3.45"/>
    <x v="1"/>
    <n v="0"/>
    <s v="Administration"/>
    <s v="M. MEUNIER"/>
    <m/>
  </r>
  <r>
    <x v="15"/>
    <x v="0"/>
    <n v="20.95"/>
    <m/>
    <m/>
    <m/>
    <m/>
    <n v="9.5"/>
    <m/>
    <m/>
    <x v="0"/>
    <n v="0"/>
    <s v="Promotion"/>
    <s v="VIP BETTEZA"/>
    <m/>
  </r>
  <r>
    <x v="15"/>
    <x v="0"/>
    <m/>
    <m/>
    <m/>
    <m/>
    <m/>
    <n v="22.75"/>
    <m/>
    <m/>
    <x v="0"/>
    <n v="0"/>
    <s v="Promotion"/>
    <s v="VIP VLNG ALZOUGHBI"/>
    <m/>
  </r>
  <r>
    <x v="15"/>
    <x v="0"/>
    <m/>
    <m/>
    <m/>
    <m/>
    <m/>
    <n v="7.25"/>
    <m/>
    <m/>
    <x v="0"/>
    <n v="0"/>
    <s v="Promotion"/>
    <s v="VIP VLNG ALZOUGHBI"/>
    <m/>
  </r>
  <r>
    <x v="15"/>
    <x v="0"/>
    <m/>
    <m/>
    <m/>
    <m/>
    <m/>
    <n v="11"/>
    <m/>
    <m/>
    <x v="0"/>
    <n v="0"/>
    <s v="Promotion"/>
    <s v="VIP HR CAYA"/>
    <m/>
  </r>
  <r>
    <x v="15"/>
    <x v="0"/>
    <m/>
    <m/>
    <m/>
    <m/>
    <m/>
    <n v="15.49"/>
    <m/>
    <m/>
    <x v="0"/>
    <n v="0"/>
    <s v="Promotion"/>
    <s v="VIP EXEC CADIRI"/>
    <m/>
  </r>
  <r>
    <x v="15"/>
    <x v="0"/>
    <n v="8.25"/>
    <m/>
    <m/>
    <m/>
    <m/>
    <n v="17"/>
    <m/>
    <n v="3.78"/>
    <x v="0"/>
    <n v="0"/>
    <s v="Promotion"/>
    <s v="FOURNISSEUR MORGANE"/>
    <m/>
  </r>
  <r>
    <x v="15"/>
    <x v="0"/>
    <n v="32.75"/>
    <m/>
    <m/>
    <m/>
    <m/>
    <m/>
    <m/>
    <n v="4.91"/>
    <x v="0"/>
    <n v="0"/>
    <s v="Promotion"/>
    <s v="CLIENTE VIP"/>
    <m/>
  </r>
  <r>
    <x v="15"/>
    <x v="0"/>
    <n v="8.5"/>
    <m/>
    <m/>
    <m/>
    <m/>
    <m/>
    <m/>
    <n v="1.28"/>
    <x v="0"/>
    <n v="0"/>
    <s v="Promotion"/>
    <s v="MR FREZZA"/>
    <m/>
  </r>
  <r>
    <x v="16"/>
    <x v="0"/>
    <m/>
    <m/>
    <m/>
    <m/>
    <m/>
    <n v="23.95"/>
    <m/>
    <n v="3.59"/>
    <x v="1"/>
    <n v="0"/>
    <s v="Administration"/>
    <s v="REPAS AUDITEUR"/>
    <m/>
  </r>
  <r>
    <x v="16"/>
    <x v="0"/>
    <n v="9.5"/>
    <m/>
    <m/>
    <m/>
    <m/>
    <m/>
    <m/>
    <n v="1.43"/>
    <x v="1"/>
    <n v="0"/>
    <s v="Administration"/>
    <s v="LYDIA FRONT DESK"/>
    <m/>
  </r>
  <r>
    <x v="16"/>
    <x v="0"/>
    <n v="11"/>
    <m/>
    <m/>
    <m/>
    <m/>
    <m/>
    <m/>
    <n v="1.65"/>
    <x v="1"/>
    <n v="0"/>
    <s v="Administration"/>
    <s v="ROULA"/>
    <m/>
  </r>
  <r>
    <x v="16"/>
    <x v="0"/>
    <m/>
    <m/>
    <m/>
    <m/>
    <m/>
    <n v="4.25"/>
    <m/>
    <m/>
    <x v="1"/>
    <n v="0"/>
    <s v="Administration"/>
    <s v="LYDIA FRONT DESK"/>
    <m/>
  </r>
  <r>
    <x v="16"/>
    <x v="0"/>
    <n v="15"/>
    <m/>
    <m/>
    <m/>
    <m/>
    <m/>
    <m/>
    <n v="1.8"/>
    <x v="1"/>
    <n v="0"/>
    <s v="Administration"/>
    <s v="CHEF ERIC FUSTEL VAL"/>
    <m/>
  </r>
  <r>
    <x v="16"/>
    <x v="0"/>
    <n v="15"/>
    <m/>
    <m/>
    <m/>
    <m/>
    <m/>
    <m/>
    <n v="1.85"/>
    <x v="1"/>
    <n v="0"/>
    <s v="Administration"/>
    <s v="NIKOLETTA"/>
    <m/>
  </r>
  <r>
    <x v="16"/>
    <x v="0"/>
    <n v="6.5"/>
    <m/>
    <m/>
    <m/>
    <m/>
    <m/>
    <m/>
    <n v="0.8"/>
    <x v="1"/>
    <n v="0"/>
    <s v="Administration"/>
    <s v="NIKOLETTA"/>
    <m/>
  </r>
  <r>
    <x v="16"/>
    <x v="0"/>
    <n v="19.5"/>
    <m/>
    <m/>
    <m/>
    <m/>
    <m/>
    <m/>
    <n v="2.5"/>
    <x v="1"/>
    <n v="0"/>
    <s v="Administration"/>
    <s v="LES CHEFS"/>
    <m/>
  </r>
  <r>
    <x v="16"/>
    <x v="1"/>
    <n v="80"/>
    <m/>
    <m/>
    <m/>
    <m/>
    <m/>
    <m/>
    <n v="9.6"/>
    <x v="1"/>
    <n v="0"/>
    <s v="Administration"/>
    <s v="NATHALIA"/>
    <m/>
  </r>
  <r>
    <x v="16"/>
    <x v="1"/>
    <n v="80"/>
    <m/>
    <m/>
    <m/>
    <n v="7"/>
    <m/>
    <m/>
    <n v="10.44"/>
    <x v="1"/>
    <n v="0"/>
    <s v="Administration"/>
    <s v="ROULA"/>
    <m/>
  </r>
  <r>
    <x v="16"/>
    <x v="1"/>
    <n v="118"/>
    <n v="56"/>
    <m/>
    <m/>
    <m/>
    <m/>
    <m/>
    <n v="26.1"/>
    <x v="1"/>
    <n v="0"/>
    <s v="Administration"/>
    <s v="MUSICIENS"/>
    <m/>
  </r>
  <r>
    <x v="16"/>
    <x v="0"/>
    <m/>
    <m/>
    <m/>
    <m/>
    <m/>
    <n v="58.7"/>
    <m/>
    <m/>
    <x v="0"/>
    <n v="0"/>
    <s v="Promotion"/>
    <s v="VIP GROUP MEL R.439 ARR.18-04"/>
    <m/>
  </r>
  <r>
    <x v="16"/>
    <x v="0"/>
    <m/>
    <m/>
    <m/>
    <m/>
    <m/>
    <n v="19.239999999999998"/>
    <m/>
    <m/>
    <x v="0"/>
    <n v="0"/>
    <s v="Promotion"/>
    <s v="VIP VLNG BORIGA ARR.19-04"/>
    <m/>
  </r>
  <r>
    <x v="16"/>
    <x v="0"/>
    <m/>
    <m/>
    <m/>
    <m/>
    <m/>
    <n v="19.239999999999998"/>
    <m/>
    <m/>
    <x v="0"/>
    <n v="0"/>
    <s v="Promotion"/>
    <s v="VIP VLNG ADIMI ARR.1-04"/>
    <m/>
  </r>
  <r>
    <x v="16"/>
    <x v="0"/>
    <m/>
    <m/>
    <m/>
    <m/>
    <m/>
    <n v="19.239999999999998"/>
    <m/>
    <m/>
    <x v="0"/>
    <n v="0"/>
    <s v="Promotion"/>
    <s v="VIP VLNG MARIN ARR.19-04"/>
    <m/>
  </r>
  <r>
    <x v="16"/>
    <x v="0"/>
    <n v="6"/>
    <m/>
    <m/>
    <m/>
    <m/>
    <n v="4.25"/>
    <m/>
    <n v="1.54"/>
    <x v="0"/>
    <n v="0"/>
    <s v="Promotion"/>
    <s v="JESSICA POUR CLIENT"/>
    <m/>
  </r>
  <r>
    <x v="16"/>
    <x v="0"/>
    <m/>
    <m/>
    <m/>
    <m/>
    <m/>
    <n v="7.25"/>
    <m/>
    <m/>
    <x v="0"/>
    <n v="0"/>
    <s v="Promotion"/>
    <s v="VIP HRTOULIATOS ARR.17-04"/>
    <m/>
  </r>
  <r>
    <x v="16"/>
    <x v="0"/>
    <m/>
    <m/>
    <m/>
    <m/>
    <m/>
    <n v="19.5"/>
    <m/>
    <m/>
    <x v="0"/>
    <n v="0"/>
    <s v="Promotion"/>
    <s v="VIP VLNG PETERSEN ARR.19-04"/>
    <m/>
  </r>
  <r>
    <x v="16"/>
    <x v="0"/>
    <m/>
    <m/>
    <m/>
    <m/>
    <m/>
    <n v="7.25"/>
    <m/>
    <m/>
    <x v="0"/>
    <n v="0"/>
    <s v="Promotion"/>
    <s v="VIP HR LE TOURNEAU ARR.17-04"/>
    <m/>
  </r>
  <r>
    <x v="16"/>
    <x v="0"/>
    <m/>
    <m/>
    <m/>
    <m/>
    <m/>
    <n v="19.5"/>
    <m/>
    <m/>
    <x v="0"/>
    <n v="0"/>
    <s v="Promotion"/>
    <s v="VIP VLNG HUDAJ ARR.19-04"/>
    <m/>
  </r>
  <r>
    <x v="16"/>
    <x v="0"/>
    <m/>
    <m/>
    <m/>
    <m/>
    <m/>
    <n v="7.25"/>
    <m/>
    <m/>
    <x v="0"/>
    <n v="0"/>
    <s v="Promotion"/>
    <s v="VIP HR LAW ARR.20-04"/>
    <m/>
  </r>
  <r>
    <x v="16"/>
    <x v="0"/>
    <n v="4.75"/>
    <m/>
    <m/>
    <m/>
    <m/>
    <m/>
    <m/>
    <n v="0.71"/>
    <x v="0"/>
    <n v="0"/>
    <s v="Promotion"/>
    <s v="CLIENTE G5 OK GUYLAINE"/>
    <m/>
  </r>
  <r>
    <x v="16"/>
    <x v="0"/>
    <m/>
    <m/>
    <m/>
    <m/>
    <m/>
    <n v="6.95"/>
    <m/>
    <m/>
    <x v="0"/>
    <n v="0"/>
    <s v="Promotion"/>
    <s v="VIP HR LING ARR.19-04"/>
    <m/>
  </r>
  <r>
    <x v="16"/>
    <x v="1"/>
    <n v="185"/>
    <m/>
    <m/>
    <m/>
    <m/>
    <m/>
    <m/>
    <n v="22.2"/>
    <x v="0"/>
    <n v="0"/>
    <s v="Promotion"/>
    <s v="M BEAUBONNET ARR.17-04"/>
    <m/>
  </r>
  <r>
    <x v="17"/>
    <x v="0"/>
    <m/>
    <m/>
    <m/>
    <m/>
    <m/>
    <n v="7.25"/>
    <m/>
    <m/>
    <x v="0"/>
    <n v="0"/>
    <s v="Promotion"/>
    <s v="VIP HR COULOMBE"/>
    <m/>
  </r>
  <r>
    <x v="17"/>
    <x v="0"/>
    <m/>
    <m/>
    <m/>
    <m/>
    <m/>
    <n v="7.25"/>
    <m/>
    <m/>
    <x v="0"/>
    <n v="0"/>
    <s v="Promotion"/>
    <s v="VIP HR HUOT"/>
    <m/>
  </r>
  <r>
    <x v="17"/>
    <x v="0"/>
    <m/>
    <m/>
    <m/>
    <m/>
    <m/>
    <n v="7.25"/>
    <m/>
    <m/>
    <x v="0"/>
    <n v="0"/>
    <s v="Promotion"/>
    <s v="BOUCHENNI"/>
    <m/>
  </r>
  <r>
    <x v="17"/>
    <x v="0"/>
    <m/>
    <m/>
    <m/>
    <m/>
    <m/>
    <n v="7.25"/>
    <m/>
    <m/>
    <x v="0"/>
    <n v="0"/>
    <s v="Promotion"/>
    <s v="PAPIN"/>
    <m/>
  </r>
  <r>
    <x v="17"/>
    <x v="0"/>
    <m/>
    <m/>
    <m/>
    <m/>
    <m/>
    <n v="7.25"/>
    <m/>
    <m/>
    <x v="0"/>
    <n v="0"/>
    <s v="Promotion"/>
    <s v="MANDOZA"/>
    <m/>
  </r>
  <r>
    <x v="17"/>
    <x v="0"/>
    <m/>
    <m/>
    <m/>
    <m/>
    <m/>
    <n v="7.25"/>
    <m/>
    <m/>
    <x v="0"/>
    <n v="0"/>
    <s v="Promotion"/>
    <s v="BEAUDOIN"/>
    <m/>
  </r>
  <r>
    <x v="17"/>
    <x v="0"/>
    <m/>
    <m/>
    <m/>
    <m/>
    <m/>
    <n v="7.25"/>
    <m/>
    <m/>
    <x v="0"/>
    <n v="0"/>
    <s v="Promotion"/>
    <s v="LAVIGNE"/>
    <m/>
  </r>
  <r>
    <x v="17"/>
    <x v="0"/>
    <m/>
    <m/>
    <m/>
    <m/>
    <m/>
    <n v="7.25"/>
    <m/>
    <m/>
    <x v="0"/>
    <n v="0"/>
    <s v="Promotion"/>
    <s v="LEGAULT"/>
    <m/>
  </r>
  <r>
    <x v="17"/>
    <x v="0"/>
    <m/>
    <m/>
    <m/>
    <m/>
    <m/>
    <n v="19.25"/>
    <m/>
    <m/>
    <x v="0"/>
    <n v="0"/>
    <s v="Promotion"/>
    <s v="DUCARU"/>
    <m/>
  </r>
  <r>
    <x v="17"/>
    <x v="0"/>
    <m/>
    <m/>
    <m/>
    <m/>
    <m/>
    <n v="4.25"/>
    <m/>
    <n v="0.64"/>
    <x v="0"/>
    <n v="0"/>
    <s v="Promotion"/>
    <s v="KARINA"/>
    <m/>
  </r>
  <r>
    <x v="17"/>
    <x v="0"/>
    <m/>
    <m/>
    <m/>
    <m/>
    <m/>
    <n v="44"/>
    <m/>
    <n v="6.6"/>
    <x v="0"/>
    <n v="0"/>
    <s v="Promotion"/>
    <s v="STAFF MEAL"/>
    <m/>
  </r>
  <r>
    <x v="17"/>
    <x v="1"/>
    <m/>
    <n v="14"/>
    <m/>
    <n v="15"/>
    <m/>
    <m/>
    <m/>
    <n v="3.48"/>
    <x v="0"/>
    <n v="0"/>
    <s v="Promotion"/>
    <s v="PROMO CLIENT VAL"/>
    <m/>
  </r>
  <r>
    <x v="17"/>
    <x v="1"/>
    <n v="101"/>
    <n v="42"/>
    <m/>
    <m/>
    <m/>
    <m/>
    <m/>
    <n v="21.45"/>
    <x v="0"/>
    <n v="0"/>
    <s v="Promotion"/>
    <s v="MUSICIENNE"/>
    <m/>
  </r>
  <r>
    <x v="17"/>
    <x v="1"/>
    <n v="44"/>
    <m/>
    <m/>
    <m/>
    <m/>
    <m/>
    <m/>
    <n v="6.6"/>
    <x v="0"/>
    <n v="0"/>
    <s v="Promotion"/>
    <s v="SITUATION ALLERGIE"/>
    <m/>
  </r>
  <r>
    <x v="17"/>
    <x v="1"/>
    <n v="20"/>
    <n v="14"/>
    <m/>
    <m/>
    <m/>
    <m/>
    <m/>
    <n v="4.08"/>
    <x v="1"/>
    <n v="0"/>
    <s v="Administration"/>
    <s v="REPAS GIO"/>
    <m/>
  </r>
  <r>
    <x v="17"/>
    <x v="0"/>
    <m/>
    <m/>
    <m/>
    <m/>
    <m/>
    <n v="12"/>
    <m/>
    <n v="1.5"/>
    <x v="1"/>
    <n v="0"/>
    <s v="Administration"/>
    <s v="THANEEKAN"/>
    <m/>
  </r>
  <r>
    <x v="17"/>
    <x v="0"/>
    <m/>
    <m/>
    <m/>
    <m/>
    <m/>
    <n v="4.25"/>
    <m/>
    <n v="0.5"/>
    <x v="1"/>
    <n v="0"/>
    <s v="Administration"/>
    <s v="KARINA"/>
    <m/>
  </r>
  <r>
    <x v="17"/>
    <x v="0"/>
    <m/>
    <m/>
    <m/>
    <m/>
    <m/>
    <n v="14.95"/>
    <m/>
    <m/>
    <x v="1"/>
    <n v="0"/>
    <s v="Administration"/>
    <s v="DRAGANA"/>
    <m/>
  </r>
  <r>
    <x v="17"/>
    <x v="0"/>
    <m/>
    <m/>
    <m/>
    <m/>
    <m/>
    <n v="13.25"/>
    <m/>
    <m/>
    <x v="1"/>
    <n v="0"/>
    <s v="Administration"/>
    <m/>
    <m/>
  </r>
  <r>
    <x v="17"/>
    <x v="0"/>
    <m/>
    <m/>
    <m/>
    <m/>
    <m/>
    <n v="44.85"/>
    <m/>
    <n v="5.5"/>
    <x v="1"/>
    <n v="0"/>
    <s v="Administration"/>
    <s v="STAFF MEAL"/>
    <m/>
  </r>
  <r>
    <x v="18"/>
    <x v="0"/>
    <n v="14.95"/>
    <m/>
    <m/>
    <m/>
    <m/>
    <n v="4.25"/>
    <m/>
    <n v="2.35"/>
    <x v="1"/>
    <n v="0"/>
    <s v="Administration"/>
    <s v="THANEEKAN"/>
    <m/>
  </r>
  <r>
    <x v="18"/>
    <x v="1"/>
    <n v="101"/>
    <m/>
    <m/>
    <m/>
    <n v="8.5"/>
    <m/>
    <m/>
    <n v="13.14"/>
    <x v="1"/>
    <n v="0"/>
    <s v="Administration"/>
    <s v="MUSICIENS"/>
    <m/>
  </r>
  <r>
    <x v="18"/>
    <x v="1"/>
    <n v="29"/>
    <m/>
    <m/>
    <m/>
    <m/>
    <m/>
    <m/>
    <n v="3.48"/>
    <x v="1"/>
    <n v="0"/>
    <s v="Administration"/>
    <s v="VALENTIN"/>
    <m/>
  </r>
  <r>
    <x v="18"/>
    <x v="0"/>
    <n v="6"/>
    <m/>
    <m/>
    <m/>
    <m/>
    <m/>
    <m/>
    <n v="0.9"/>
    <x v="0"/>
    <n v="0"/>
    <s v="Promotion"/>
    <s v="AUDITEUR"/>
    <m/>
  </r>
  <r>
    <x v="18"/>
    <x v="0"/>
    <n v="3"/>
    <m/>
    <m/>
    <m/>
    <m/>
    <m/>
    <m/>
    <n v="0.45"/>
    <x v="0"/>
    <n v="0"/>
    <s v="Promotion"/>
    <s v="CLIENT VIP"/>
    <m/>
  </r>
  <r>
    <x v="19"/>
    <x v="1"/>
    <n v="40"/>
    <m/>
    <m/>
    <m/>
    <m/>
    <m/>
    <m/>
    <n v="6"/>
    <x v="1"/>
    <n v="0"/>
    <s v="Administration"/>
    <s v="NATALIA"/>
    <m/>
  </r>
  <r>
    <x v="19"/>
    <x v="1"/>
    <n v="16"/>
    <m/>
    <m/>
    <m/>
    <m/>
    <m/>
    <m/>
    <n v="1.92"/>
    <x v="1"/>
    <n v="0"/>
    <s v="Administration"/>
    <s v="VAL"/>
    <m/>
  </r>
  <r>
    <x v="19"/>
    <x v="1"/>
    <n v="3.5"/>
    <m/>
    <m/>
    <m/>
    <n v="4.25"/>
    <m/>
    <m/>
    <n v="1.1599999999999999"/>
    <x v="1"/>
    <n v="0"/>
    <s v="Administration"/>
    <s v="RENCONTRE VENTE"/>
    <m/>
  </r>
  <r>
    <x v="19"/>
    <x v="0"/>
    <n v="14.95"/>
    <m/>
    <m/>
    <m/>
    <m/>
    <m/>
    <m/>
    <n v="1.79"/>
    <x v="1"/>
    <n v="0"/>
    <s v="Administration"/>
    <s v="THANEEKAN"/>
    <m/>
  </r>
  <r>
    <x v="19"/>
    <x v="0"/>
    <n v="12.95"/>
    <m/>
    <m/>
    <m/>
    <m/>
    <m/>
    <m/>
    <n v="1.55"/>
    <x v="1"/>
    <n v="0"/>
    <s v="Administration"/>
    <s v="ADIL"/>
    <m/>
  </r>
  <r>
    <x v="19"/>
    <x v="0"/>
    <n v="2"/>
    <m/>
    <m/>
    <m/>
    <m/>
    <n v="8.75"/>
    <m/>
    <m/>
    <x v="1"/>
    <n v="0"/>
    <s v="Administration"/>
    <s v="NATALIA"/>
    <m/>
  </r>
  <r>
    <x v="19"/>
    <x v="0"/>
    <n v="14.95"/>
    <m/>
    <m/>
    <m/>
    <m/>
    <m/>
    <m/>
    <n v="2.2400000000000002"/>
    <x v="1"/>
    <n v="0"/>
    <s v="Administration"/>
    <s v="LUNCH ROULA"/>
    <m/>
  </r>
  <r>
    <x v="19"/>
    <x v="0"/>
    <n v="25.95"/>
    <m/>
    <m/>
    <m/>
    <m/>
    <n v="6"/>
    <m/>
    <n v="4.79"/>
    <x v="1"/>
    <n v="0"/>
    <s v="Administration"/>
    <s v="REPAS AUDITEUR"/>
    <m/>
  </r>
  <r>
    <x v="19"/>
    <x v="0"/>
    <n v="12"/>
    <m/>
    <m/>
    <m/>
    <m/>
    <m/>
    <m/>
    <n v="1.8"/>
    <x v="1"/>
    <n v="0"/>
    <s v="Administration"/>
    <s v="LYDIA"/>
    <m/>
  </r>
  <r>
    <x v="19"/>
    <x v="0"/>
    <n v="8.5"/>
    <m/>
    <m/>
    <m/>
    <m/>
    <m/>
    <m/>
    <n v="1.28"/>
    <x v="1"/>
    <n v="0"/>
    <s v="Administration"/>
    <s v="ROULA"/>
    <m/>
  </r>
  <r>
    <x v="19"/>
    <x v="0"/>
    <n v="18.95"/>
    <m/>
    <m/>
    <m/>
    <m/>
    <m/>
    <m/>
    <n v="2.84"/>
    <x v="1"/>
    <n v="0"/>
    <s v="Administration"/>
    <s v="LUNCH NIKOLETTA"/>
    <m/>
  </r>
  <r>
    <x v="19"/>
    <x v="0"/>
    <m/>
    <m/>
    <m/>
    <m/>
    <m/>
    <n v="8.1999999999999993"/>
    <m/>
    <m/>
    <x v="1"/>
    <n v="0"/>
    <s v="Administration"/>
    <s v="THANEEKAN"/>
    <m/>
  </r>
  <r>
    <x v="19"/>
    <x v="0"/>
    <n v="41.5"/>
    <m/>
    <m/>
    <m/>
    <m/>
    <m/>
    <m/>
    <n v="6.23"/>
    <x v="0"/>
    <n v="0"/>
    <s v="Promotion"/>
    <s v="MASSOTHERAPIE"/>
    <m/>
  </r>
  <r>
    <x v="19"/>
    <x v="0"/>
    <n v="213"/>
    <m/>
    <m/>
    <m/>
    <m/>
    <m/>
    <m/>
    <n v="31.95"/>
    <x v="0"/>
    <n v="0"/>
    <s v="Promotion"/>
    <s v="NELSON MEUNIER"/>
    <m/>
  </r>
  <r>
    <x v="19"/>
    <x v="0"/>
    <n v="7"/>
    <m/>
    <m/>
    <m/>
    <m/>
    <m/>
    <m/>
    <n v="1.05"/>
    <x v="0"/>
    <n v="0"/>
    <s v="Promotion"/>
    <s v="MR FREZZA"/>
    <m/>
  </r>
  <r>
    <x v="20"/>
    <x v="0"/>
    <m/>
    <m/>
    <m/>
    <m/>
    <m/>
    <n v="15.49"/>
    <m/>
    <m/>
    <x v="0"/>
    <n v="0"/>
    <s v="Promotion"/>
    <s v="VIP SALES HENDRICK"/>
    <m/>
  </r>
  <r>
    <x v="20"/>
    <x v="0"/>
    <m/>
    <m/>
    <m/>
    <m/>
    <m/>
    <n v="15.49"/>
    <m/>
    <m/>
    <x v="0"/>
    <n v="0"/>
    <s v="Promotion"/>
    <s v="VIP SALES DELPECH"/>
    <m/>
  </r>
  <r>
    <x v="20"/>
    <x v="0"/>
    <m/>
    <m/>
    <m/>
    <m/>
    <m/>
    <n v="15.49"/>
    <m/>
    <m/>
    <x v="0"/>
    <n v="0"/>
    <s v="Promotion"/>
    <s v="VIP SALES TAYLOR"/>
    <m/>
  </r>
  <r>
    <x v="20"/>
    <x v="0"/>
    <m/>
    <m/>
    <m/>
    <m/>
    <m/>
    <n v="12"/>
    <m/>
    <m/>
    <x v="0"/>
    <n v="0"/>
    <s v="Promotion"/>
    <s v="VIP SALES CROWLEY"/>
    <m/>
  </r>
  <r>
    <x v="20"/>
    <x v="0"/>
    <m/>
    <m/>
    <m/>
    <m/>
    <m/>
    <n v="12"/>
    <m/>
    <m/>
    <x v="0"/>
    <n v="0"/>
    <s v="Promotion"/>
    <s v="VIP SALES HAELE"/>
    <m/>
  </r>
  <r>
    <x v="20"/>
    <x v="0"/>
    <m/>
    <m/>
    <m/>
    <m/>
    <m/>
    <n v="12"/>
    <m/>
    <m/>
    <x v="0"/>
    <n v="0"/>
    <s v="Promotion"/>
    <s v="VIP SALES HUDAJ"/>
    <m/>
  </r>
  <r>
    <x v="20"/>
    <x v="0"/>
    <n v="10"/>
    <m/>
    <m/>
    <m/>
    <m/>
    <n v="4.25"/>
    <m/>
    <n v="2.13"/>
    <x v="0"/>
    <n v="0"/>
    <s v="Promotion"/>
    <s v="OFFERT CLIENT MICHAEL  FREZZA"/>
    <m/>
  </r>
  <r>
    <x v="20"/>
    <x v="0"/>
    <m/>
    <m/>
    <m/>
    <m/>
    <m/>
    <n v="4"/>
    <m/>
    <m/>
    <x v="0"/>
    <n v="0"/>
    <s v="Promotion"/>
    <s v="VIP COSTCO DAIGNEAULT"/>
    <m/>
  </r>
  <r>
    <x v="20"/>
    <x v="0"/>
    <m/>
    <m/>
    <m/>
    <m/>
    <m/>
    <n v="20.239999999999998"/>
    <m/>
    <m/>
    <x v="0"/>
    <n v="0"/>
    <s v="Promotion"/>
    <s v="VIP VLNG BOYD"/>
    <m/>
  </r>
  <r>
    <x v="20"/>
    <x v="0"/>
    <m/>
    <m/>
    <m/>
    <m/>
    <m/>
    <n v="17.489999999999998"/>
    <m/>
    <m/>
    <x v="0"/>
    <n v="0"/>
    <s v="Promotion"/>
    <s v="VIP VLNG ION"/>
    <m/>
  </r>
  <r>
    <x v="20"/>
    <x v="0"/>
    <m/>
    <m/>
    <m/>
    <m/>
    <m/>
    <n v="17.489999999999998"/>
    <m/>
    <m/>
    <x v="0"/>
    <n v="0"/>
    <s v="Promotion"/>
    <s v="VIP VLNG CIPRAGA"/>
    <m/>
  </r>
  <r>
    <x v="20"/>
    <x v="0"/>
    <m/>
    <m/>
    <m/>
    <m/>
    <m/>
    <n v="20.239999999999998"/>
    <m/>
    <m/>
    <x v="0"/>
    <n v="0"/>
    <s v="Promotion"/>
    <s v="VIP VLNG TACHE"/>
    <m/>
  </r>
  <r>
    <x v="20"/>
    <x v="0"/>
    <m/>
    <m/>
    <m/>
    <m/>
    <m/>
    <n v="7.25"/>
    <m/>
    <m/>
    <x v="0"/>
    <n v="0"/>
    <s v="Promotion"/>
    <s v="VIP HR LESSARD"/>
    <m/>
  </r>
  <r>
    <x v="20"/>
    <x v="0"/>
    <m/>
    <m/>
    <m/>
    <m/>
    <m/>
    <n v="7.25"/>
    <m/>
    <m/>
    <x v="0"/>
    <n v="0"/>
    <s v="Promotion"/>
    <s v="VIP HR PUSTOWKA"/>
    <m/>
  </r>
  <r>
    <x v="20"/>
    <x v="0"/>
    <m/>
    <m/>
    <m/>
    <m/>
    <m/>
    <n v="18.5"/>
    <m/>
    <m/>
    <x v="0"/>
    <n v="0"/>
    <s v="Promotion"/>
    <s v="VIP VLNG BLANSHAY"/>
    <m/>
  </r>
  <r>
    <x v="20"/>
    <x v="1"/>
    <n v="22"/>
    <m/>
    <m/>
    <m/>
    <m/>
    <m/>
    <m/>
    <n v="3.3"/>
    <x v="0"/>
    <n v="0"/>
    <s v="Promotion"/>
    <s v="CAFÉ G1"/>
    <m/>
  </r>
  <r>
    <x v="20"/>
    <x v="1"/>
    <n v="45.5"/>
    <m/>
    <m/>
    <m/>
    <m/>
    <m/>
    <m/>
    <n v="8.19"/>
    <x v="0"/>
    <n v="0"/>
    <s v="Promotion"/>
    <s v="GIOVANNI"/>
    <m/>
  </r>
  <r>
    <x v="20"/>
    <x v="0"/>
    <n v="49"/>
    <m/>
    <m/>
    <m/>
    <m/>
    <m/>
    <m/>
    <n v="7.35"/>
    <x v="0"/>
    <n v="0"/>
    <s v="Promotion"/>
    <s v="MARIOTTE"/>
    <m/>
  </r>
  <r>
    <x v="20"/>
    <x v="0"/>
    <m/>
    <m/>
    <m/>
    <m/>
    <m/>
    <n v="15.49"/>
    <m/>
    <m/>
    <x v="0"/>
    <n v="0"/>
    <s v="Promotion"/>
    <s v="VIP SALES FULTON"/>
    <m/>
  </r>
  <r>
    <x v="20"/>
    <x v="0"/>
    <n v="6.75"/>
    <m/>
    <m/>
    <m/>
    <m/>
    <m/>
    <m/>
    <n v="0.81"/>
    <x v="1"/>
    <n v="0"/>
    <s v="Administration"/>
    <s v="NELSON"/>
    <m/>
  </r>
  <r>
    <x v="20"/>
    <x v="0"/>
    <n v="80"/>
    <m/>
    <m/>
    <m/>
    <n v="8.75"/>
    <m/>
    <m/>
    <n v="13.31"/>
    <x v="1"/>
    <n v="0"/>
    <s v="Administration"/>
    <s v="ROULA"/>
    <m/>
  </r>
  <r>
    <x v="20"/>
    <x v="0"/>
    <n v="65.5"/>
    <m/>
    <m/>
    <m/>
    <m/>
    <m/>
    <m/>
    <n v="9.81"/>
    <x v="1"/>
    <n v="0"/>
    <s v="Administration"/>
    <s v="REPAS MORGANE ET LYDIA"/>
    <m/>
  </r>
  <r>
    <x v="20"/>
    <x v="0"/>
    <n v="6"/>
    <m/>
    <m/>
    <m/>
    <m/>
    <m/>
    <m/>
    <n v="0.9"/>
    <x v="1"/>
    <n v="0"/>
    <s v="Administration"/>
    <s v="ANNIE EVE"/>
    <m/>
  </r>
  <r>
    <x v="20"/>
    <x v="0"/>
    <n v="14.5"/>
    <m/>
    <m/>
    <m/>
    <m/>
    <m/>
    <m/>
    <n v="2.1800000000000002"/>
    <x v="1"/>
    <n v="0"/>
    <s v="Administration"/>
    <s v="STEPHANE MERCIER"/>
    <m/>
  </r>
  <r>
    <x v="20"/>
    <x v="0"/>
    <n v="10.75"/>
    <m/>
    <m/>
    <m/>
    <m/>
    <m/>
    <m/>
    <n v="1.29"/>
    <x v="1"/>
    <n v="0"/>
    <s v="Administration"/>
    <s v="MELISSA LANTEIGNE"/>
    <m/>
  </r>
  <r>
    <x v="20"/>
    <x v="0"/>
    <n v="6"/>
    <m/>
    <m/>
    <m/>
    <m/>
    <m/>
    <m/>
    <n v="0.9"/>
    <x v="1"/>
    <n v="0"/>
    <s v="Administration"/>
    <s v="ROULA"/>
    <m/>
  </r>
  <r>
    <x v="20"/>
    <x v="0"/>
    <n v="6"/>
    <m/>
    <m/>
    <m/>
    <m/>
    <m/>
    <m/>
    <m/>
    <x v="0"/>
    <n v="0"/>
    <s v="Administration"/>
    <s v="STAFF MEAL"/>
    <m/>
  </r>
  <r>
    <x v="20"/>
    <x v="0"/>
    <n v="6"/>
    <m/>
    <m/>
    <m/>
    <m/>
    <m/>
    <m/>
    <n v="0.72"/>
    <x v="0"/>
    <n v="0"/>
    <s v="Promotion"/>
    <s v="OFFERT GIOVANNI"/>
    <m/>
  </r>
  <r>
    <x v="21"/>
    <x v="0"/>
    <m/>
    <m/>
    <m/>
    <m/>
    <m/>
    <n v="7.25"/>
    <m/>
    <m/>
    <x v="0"/>
    <n v="0"/>
    <s v="Promotion"/>
    <s v="VIP POINT DEGROTTOLE"/>
    <m/>
  </r>
  <r>
    <x v="21"/>
    <x v="0"/>
    <m/>
    <m/>
    <m/>
    <m/>
    <m/>
    <n v="7.25"/>
    <m/>
    <m/>
    <x v="0"/>
    <n v="0"/>
    <s v="Promotion"/>
    <s v="VIIP POINT THAYER"/>
    <m/>
  </r>
  <r>
    <x v="21"/>
    <x v="0"/>
    <m/>
    <m/>
    <m/>
    <m/>
    <m/>
    <n v="7.25"/>
    <m/>
    <m/>
    <x v="0"/>
    <n v="0"/>
    <s v="Promotion"/>
    <s v="VIP HR LAROCQUE"/>
    <m/>
  </r>
  <r>
    <x v="21"/>
    <x v="0"/>
    <m/>
    <m/>
    <m/>
    <m/>
    <m/>
    <n v="7.25"/>
    <m/>
    <m/>
    <x v="0"/>
    <n v="0"/>
    <s v="Promotion"/>
    <s v="VIP POINT COULOMBE"/>
    <m/>
  </r>
  <r>
    <x v="21"/>
    <x v="0"/>
    <m/>
    <m/>
    <m/>
    <m/>
    <m/>
    <n v="7.25"/>
    <m/>
    <m/>
    <x v="0"/>
    <n v="0"/>
    <s v="Promotion"/>
    <s v="VIP HR BAGLEY"/>
    <m/>
  </r>
  <r>
    <x v="21"/>
    <x v="0"/>
    <m/>
    <m/>
    <m/>
    <m/>
    <m/>
    <n v="7.25"/>
    <m/>
    <m/>
    <x v="0"/>
    <n v="0"/>
    <s v="Promotion"/>
    <s v="VIP HR HANSENVOLT"/>
    <m/>
  </r>
  <r>
    <x v="21"/>
    <x v="0"/>
    <m/>
    <m/>
    <m/>
    <m/>
    <m/>
    <n v="7.25"/>
    <m/>
    <m/>
    <x v="0"/>
    <n v="0"/>
    <s v="Promotion"/>
    <s v="VIP HR BRADETTE"/>
    <m/>
  </r>
  <r>
    <x v="21"/>
    <x v="0"/>
    <m/>
    <m/>
    <m/>
    <m/>
    <m/>
    <n v="7.25"/>
    <m/>
    <m/>
    <x v="0"/>
    <n v="0"/>
    <s v="Promotion"/>
    <s v="VIP HR MENTOR"/>
    <m/>
  </r>
  <r>
    <x v="21"/>
    <x v="0"/>
    <m/>
    <m/>
    <m/>
    <m/>
    <m/>
    <n v="7.25"/>
    <m/>
    <m/>
    <x v="0"/>
    <n v="0"/>
    <s v="Promotion"/>
    <s v="VIP HR MARCO"/>
    <m/>
  </r>
  <r>
    <x v="21"/>
    <x v="0"/>
    <m/>
    <m/>
    <m/>
    <m/>
    <m/>
    <n v="7.25"/>
    <m/>
    <m/>
    <x v="0"/>
    <n v="0"/>
    <s v="Promotion"/>
    <s v="VIP HR LAROCQUE"/>
    <m/>
  </r>
  <r>
    <x v="21"/>
    <x v="0"/>
    <m/>
    <m/>
    <m/>
    <m/>
    <m/>
    <n v="7.25"/>
    <m/>
    <m/>
    <x v="0"/>
    <n v="0"/>
    <s v="Promotion"/>
    <s v="VIP HR GROULX"/>
    <m/>
  </r>
  <r>
    <x v="21"/>
    <x v="0"/>
    <m/>
    <m/>
    <m/>
    <m/>
    <m/>
    <n v="7.25"/>
    <m/>
    <m/>
    <x v="0"/>
    <n v="0"/>
    <s v="Promotion"/>
    <s v="VIP HR ST-PIERRE"/>
    <m/>
  </r>
  <r>
    <x v="21"/>
    <x v="0"/>
    <m/>
    <m/>
    <m/>
    <m/>
    <m/>
    <n v="7.25"/>
    <m/>
    <m/>
    <x v="0"/>
    <n v="0"/>
    <s v="Promotion"/>
    <s v="VIP HR BOUTIN"/>
    <m/>
  </r>
  <r>
    <x v="21"/>
    <x v="0"/>
    <m/>
    <m/>
    <m/>
    <m/>
    <m/>
    <n v="7.25"/>
    <m/>
    <m/>
    <x v="0"/>
    <n v="0"/>
    <s v="Promotion"/>
    <s v="VIP HR TREMBLAY"/>
    <m/>
  </r>
  <r>
    <x v="21"/>
    <x v="0"/>
    <m/>
    <m/>
    <m/>
    <m/>
    <m/>
    <n v="7.25"/>
    <m/>
    <m/>
    <x v="0"/>
    <n v="0"/>
    <s v="Promotion"/>
    <s v="VIP HR DESANTIS"/>
    <m/>
  </r>
  <r>
    <x v="21"/>
    <x v="0"/>
    <m/>
    <m/>
    <m/>
    <m/>
    <m/>
    <n v="34.99"/>
    <m/>
    <m/>
    <x v="0"/>
    <n v="0"/>
    <s v="Promotion"/>
    <s v="VIP AMBS ABCUNAS"/>
    <m/>
  </r>
  <r>
    <x v="21"/>
    <x v="0"/>
    <m/>
    <m/>
    <m/>
    <m/>
    <m/>
    <n v="19.989999999999998"/>
    <m/>
    <m/>
    <x v="0"/>
    <n v="0"/>
    <s v="Promotion"/>
    <s v="VIP AMBAS TINO"/>
    <m/>
  </r>
  <r>
    <x v="21"/>
    <x v="0"/>
    <m/>
    <m/>
    <m/>
    <m/>
    <m/>
    <n v="15.49"/>
    <m/>
    <m/>
    <x v="0"/>
    <n v="0"/>
    <s v="Promotion"/>
    <s v="VIP SALES ALOU"/>
    <m/>
  </r>
  <r>
    <x v="21"/>
    <x v="0"/>
    <m/>
    <m/>
    <m/>
    <m/>
    <m/>
    <n v="15.49"/>
    <m/>
    <m/>
    <x v="0"/>
    <n v="0"/>
    <s v="Promotion"/>
    <s v="VIP EXEC SIMS"/>
    <m/>
  </r>
  <r>
    <x v="21"/>
    <x v="0"/>
    <m/>
    <m/>
    <m/>
    <m/>
    <m/>
    <n v="15.49"/>
    <m/>
    <m/>
    <x v="0"/>
    <n v="0"/>
    <s v="Promotion"/>
    <s v="VIP EXEC FYN"/>
    <m/>
  </r>
  <r>
    <x v="21"/>
    <x v="0"/>
    <m/>
    <m/>
    <m/>
    <m/>
    <m/>
    <n v="19.989999999999998"/>
    <m/>
    <m/>
    <x v="0"/>
    <n v="0"/>
    <s v="Promotion"/>
    <s v="VIP EXEC HOGUE"/>
    <m/>
  </r>
  <r>
    <x v="21"/>
    <x v="0"/>
    <m/>
    <m/>
    <m/>
    <m/>
    <m/>
    <n v="9.5"/>
    <m/>
    <m/>
    <x v="0"/>
    <n v="0"/>
    <s v="Promotion"/>
    <s v="VIP EXEC HOGUE"/>
    <m/>
  </r>
  <r>
    <x v="21"/>
    <x v="1"/>
    <n v="300"/>
    <m/>
    <m/>
    <m/>
    <m/>
    <m/>
    <m/>
    <n v="45"/>
    <x v="0"/>
    <n v="0"/>
    <s v="Promotion"/>
    <s v="TASTING ST MAX"/>
    <m/>
  </r>
  <r>
    <x v="21"/>
    <x v="1"/>
    <n v="250"/>
    <m/>
    <m/>
    <m/>
    <m/>
    <m/>
    <m/>
    <n v="37.5"/>
    <x v="0"/>
    <n v="0"/>
    <s v="Promotion"/>
    <s v="TASTING LA CROISEE"/>
    <m/>
  </r>
  <r>
    <x v="21"/>
    <x v="1"/>
    <m/>
    <n v="13"/>
    <m/>
    <n v="44"/>
    <n v="4.5"/>
    <m/>
    <m/>
    <n v="9.23"/>
    <x v="0"/>
    <n v="0"/>
    <s v="Promotion"/>
    <s v="MR GENDRON"/>
    <m/>
  </r>
  <r>
    <x v="21"/>
    <x v="1"/>
    <n v="77"/>
    <m/>
    <m/>
    <m/>
    <n v="8.5"/>
    <m/>
    <m/>
    <n v="12.83"/>
    <x v="0"/>
    <n v="0"/>
    <s v="Promotion"/>
    <s v="MR GENDRON"/>
    <m/>
  </r>
  <r>
    <x v="21"/>
    <x v="1"/>
    <n v="186"/>
    <n v="26"/>
    <n v="22"/>
    <n v="394"/>
    <m/>
    <m/>
    <m/>
    <n v="94.2"/>
    <x v="0"/>
    <n v="0"/>
    <s v="Promotion"/>
    <s v="HOGUE"/>
    <m/>
  </r>
  <r>
    <x v="21"/>
    <x v="0"/>
    <n v="12"/>
    <m/>
    <m/>
    <m/>
    <m/>
    <m/>
    <m/>
    <n v="1.4"/>
    <x v="1"/>
    <n v="0"/>
    <s v="Administration"/>
    <s v="YVON"/>
    <m/>
  </r>
  <r>
    <x v="21"/>
    <x v="0"/>
    <n v="20.95"/>
    <m/>
    <m/>
    <m/>
    <m/>
    <m/>
    <m/>
    <n v="2.5"/>
    <x v="1"/>
    <n v="0"/>
    <s v="Administration"/>
    <s v="THANEEKAN"/>
    <m/>
  </r>
  <r>
    <x v="21"/>
    <x v="0"/>
    <n v="7"/>
    <m/>
    <m/>
    <m/>
    <m/>
    <m/>
    <m/>
    <m/>
    <x v="1"/>
    <n v="0"/>
    <s v="Administration"/>
    <s v="GUYLAINE SOUPE"/>
    <m/>
  </r>
  <r>
    <x v="21"/>
    <x v="0"/>
    <n v="12.95"/>
    <m/>
    <m/>
    <m/>
    <m/>
    <m/>
    <m/>
    <n v="1.94"/>
    <x v="1"/>
    <n v="0"/>
    <s v="Administration"/>
    <s v="MELISSA LANTEIGNE"/>
    <m/>
  </r>
  <r>
    <x v="21"/>
    <x v="1"/>
    <n v="4.75"/>
    <m/>
    <m/>
    <m/>
    <n v="4.5"/>
    <m/>
    <m/>
    <n v="1.39"/>
    <x v="1"/>
    <n v="0"/>
    <s v="Administration"/>
    <s v="DACOSTA"/>
    <m/>
  </r>
  <r>
    <x v="22"/>
    <x v="1"/>
    <n v="30"/>
    <m/>
    <m/>
    <m/>
    <m/>
    <m/>
    <m/>
    <n v="4.5"/>
    <x v="0"/>
    <n v="0"/>
    <s v="Promotion"/>
    <s v="TULI"/>
    <m/>
  </r>
  <r>
    <x v="22"/>
    <x v="1"/>
    <n v="402"/>
    <m/>
    <m/>
    <m/>
    <m/>
    <m/>
    <m/>
    <n v="60.3"/>
    <x v="0"/>
    <n v="0"/>
    <s v="Promotion"/>
    <s v="CUREANTOINE LABELLE"/>
    <m/>
  </r>
  <r>
    <x v="22"/>
    <x v="0"/>
    <m/>
    <m/>
    <m/>
    <m/>
    <m/>
    <n v="10.5"/>
    <m/>
    <n v="1.81"/>
    <x v="0"/>
    <n v="0"/>
    <s v="Promotion"/>
    <s v="CLIENT JS"/>
    <m/>
  </r>
  <r>
    <x v="22"/>
    <x v="0"/>
    <m/>
    <m/>
    <m/>
    <m/>
    <m/>
    <n v="7.25"/>
    <m/>
    <m/>
    <x v="0"/>
    <n v="0"/>
    <s v="Promotion"/>
    <s v="VIP HR PIERRE"/>
    <m/>
  </r>
  <r>
    <x v="22"/>
    <x v="0"/>
    <m/>
    <m/>
    <m/>
    <m/>
    <m/>
    <n v="7.25"/>
    <m/>
    <m/>
    <x v="0"/>
    <n v="0"/>
    <s v="Promotion"/>
    <s v="VIP HR DESROCHERS"/>
    <m/>
  </r>
  <r>
    <x v="22"/>
    <x v="0"/>
    <m/>
    <m/>
    <m/>
    <m/>
    <m/>
    <n v="7.25"/>
    <m/>
    <m/>
    <x v="0"/>
    <n v="0"/>
    <s v="Promotion"/>
    <s v="VIP HR GENDRON"/>
    <m/>
  </r>
  <r>
    <x v="22"/>
    <x v="0"/>
    <m/>
    <m/>
    <m/>
    <m/>
    <m/>
    <n v="7.25"/>
    <m/>
    <m/>
    <x v="0"/>
    <n v="0"/>
    <s v="Promotion"/>
    <s v="VIP HR PIVIN"/>
    <m/>
  </r>
  <r>
    <x v="22"/>
    <x v="0"/>
    <m/>
    <m/>
    <m/>
    <m/>
    <m/>
    <n v="7.25"/>
    <m/>
    <m/>
    <x v="0"/>
    <n v="0"/>
    <s v="Promotion"/>
    <s v="VIP POINT BOMANSUR"/>
    <m/>
  </r>
  <r>
    <x v="22"/>
    <x v="0"/>
    <m/>
    <m/>
    <m/>
    <m/>
    <m/>
    <n v="7.25"/>
    <m/>
    <m/>
    <x v="0"/>
    <n v="0"/>
    <s v="Promotion"/>
    <s v="VIP POINTS ROY"/>
    <m/>
  </r>
  <r>
    <x v="22"/>
    <x v="0"/>
    <m/>
    <m/>
    <m/>
    <m/>
    <m/>
    <n v="7.25"/>
    <m/>
    <m/>
    <x v="0"/>
    <n v="0"/>
    <s v="Promotion"/>
    <s v="VIP POINTS DESROCHERS"/>
    <m/>
  </r>
  <r>
    <x v="22"/>
    <x v="0"/>
    <m/>
    <m/>
    <m/>
    <m/>
    <m/>
    <n v="7.25"/>
    <m/>
    <m/>
    <x v="0"/>
    <n v="0"/>
    <s v="Promotion"/>
    <s v="VIP HR POITRAS"/>
    <m/>
  </r>
  <r>
    <x v="22"/>
    <x v="0"/>
    <m/>
    <m/>
    <m/>
    <m/>
    <m/>
    <n v="19.5"/>
    <m/>
    <m/>
    <x v="0"/>
    <n v="0"/>
    <s v="Promotion"/>
    <s v="VIP VLING M BALOWE"/>
    <m/>
  </r>
  <r>
    <x v="22"/>
    <x v="0"/>
    <m/>
    <m/>
    <m/>
    <m/>
    <m/>
    <n v="15.49"/>
    <m/>
    <m/>
    <x v="0"/>
    <n v="0"/>
    <s v="Promotion"/>
    <s v="VIP SALES RIOPEL"/>
    <m/>
  </r>
  <r>
    <x v="22"/>
    <x v="0"/>
    <m/>
    <m/>
    <m/>
    <m/>
    <m/>
    <n v="11.74"/>
    <m/>
    <m/>
    <x v="0"/>
    <n v="0"/>
    <s v="Promotion"/>
    <s v="VIP SALES RUSSEL"/>
    <m/>
  </r>
  <r>
    <x v="22"/>
    <x v="0"/>
    <m/>
    <m/>
    <m/>
    <m/>
    <m/>
    <n v="5.75"/>
    <m/>
    <m/>
    <x v="0"/>
    <n v="0"/>
    <s v="Promotion"/>
    <s v="VIP SALES RUSSEL"/>
    <m/>
  </r>
  <r>
    <x v="22"/>
    <x v="0"/>
    <m/>
    <m/>
    <m/>
    <m/>
    <m/>
    <n v="15.49"/>
    <m/>
    <m/>
    <x v="0"/>
    <n v="0"/>
    <s v="Promotion"/>
    <s v="VIP SALES RAYMOND"/>
    <m/>
  </r>
  <r>
    <x v="22"/>
    <x v="0"/>
    <m/>
    <m/>
    <m/>
    <m/>
    <m/>
    <n v="15.49"/>
    <m/>
    <m/>
    <x v="0"/>
    <n v="0"/>
    <s v="Promotion"/>
    <s v="VIP SALES JOHNSON"/>
    <m/>
  </r>
  <r>
    <x v="22"/>
    <x v="0"/>
    <m/>
    <m/>
    <m/>
    <m/>
    <m/>
    <n v="15.95"/>
    <m/>
    <m/>
    <x v="0"/>
    <n v="0"/>
    <s v="Promotion"/>
    <s v="VIP SALES BASNETT"/>
    <m/>
  </r>
  <r>
    <x v="22"/>
    <x v="1"/>
    <n v="15"/>
    <m/>
    <m/>
    <m/>
    <m/>
    <m/>
    <m/>
    <n v="2.25"/>
    <x v="1"/>
    <n v="0"/>
    <s v="Administration"/>
    <s v="NATALIA"/>
    <m/>
  </r>
  <r>
    <x v="22"/>
    <x v="1"/>
    <n v="40"/>
    <m/>
    <m/>
    <m/>
    <m/>
    <m/>
    <m/>
    <n v="4.8"/>
    <x v="1"/>
    <n v="0"/>
    <s v="Administration"/>
    <s v="ADIL"/>
    <m/>
  </r>
  <r>
    <x v="22"/>
    <x v="1"/>
    <n v="74"/>
    <m/>
    <m/>
    <m/>
    <n v="19"/>
    <m/>
    <m/>
    <n v="11.16"/>
    <x v="1"/>
    <n v="0"/>
    <s v="Administration"/>
    <s v="MR BOURBONAIS ET NELSON"/>
    <m/>
  </r>
  <r>
    <x v="23"/>
    <x v="0"/>
    <m/>
    <m/>
    <m/>
    <m/>
    <m/>
    <n v="4.75"/>
    <m/>
    <n v="0.71"/>
    <x v="1"/>
    <n v="5.46"/>
    <s v="Administration"/>
    <s v="STEPHANE MERCIER"/>
    <m/>
  </r>
  <r>
    <x v="23"/>
    <x v="0"/>
    <m/>
    <m/>
    <m/>
    <m/>
    <m/>
    <n v="7.5"/>
    <m/>
    <n v="0.76"/>
    <x v="1"/>
    <n v="8.26"/>
    <s v="Administration"/>
    <s v="STEPHANE MERCIER"/>
    <m/>
  </r>
  <r>
    <x v="23"/>
    <x v="0"/>
    <m/>
    <m/>
    <m/>
    <m/>
    <m/>
    <n v="29"/>
    <m/>
    <n v="3.5"/>
    <x v="1"/>
    <n v="32.5"/>
    <s v="Administration"/>
    <s v="LYDIA"/>
    <m/>
  </r>
  <r>
    <x v="23"/>
    <x v="0"/>
    <m/>
    <m/>
    <m/>
    <m/>
    <m/>
    <n v="12.95"/>
    <m/>
    <m/>
    <x v="1"/>
    <n v="12.95"/>
    <s v="Administration"/>
    <s v="RIEN EN CUISINE, STAFF DRAGANA"/>
    <m/>
  </r>
  <r>
    <x v="23"/>
    <x v="1"/>
    <n v="65.5"/>
    <m/>
    <m/>
    <m/>
    <m/>
    <m/>
    <m/>
    <n v="9.83"/>
    <x v="0"/>
    <n v="75.33"/>
    <s v="Promotion"/>
    <s v="DOLCE SAPPOR"/>
    <m/>
  </r>
  <r>
    <x v="23"/>
    <x v="1"/>
    <n v="107"/>
    <n v="46"/>
    <m/>
    <m/>
    <m/>
    <m/>
    <m/>
    <n v="22.95"/>
    <x v="0"/>
    <n v="175.95"/>
    <s v="Promotion"/>
    <s v="MUSICIEN"/>
    <m/>
  </r>
  <r>
    <x v="23"/>
    <x v="0"/>
    <m/>
    <m/>
    <m/>
    <m/>
    <m/>
    <n v="10.75"/>
    <m/>
    <n v="1.61"/>
    <x v="0"/>
    <n v="12.36"/>
    <s v="Promotion"/>
    <s v="GRATUITY CLIENT GIOVANNI"/>
    <m/>
  </r>
  <r>
    <x v="23"/>
    <x v="0"/>
    <m/>
    <m/>
    <m/>
    <m/>
    <m/>
    <n v="7.25"/>
    <m/>
    <m/>
    <x v="0"/>
    <n v="7.25"/>
    <s v="Promotion"/>
    <s v="VIP HR ARRATA"/>
    <m/>
  </r>
  <r>
    <x v="23"/>
    <x v="0"/>
    <m/>
    <m/>
    <m/>
    <m/>
    <m/>
    <n v="7.25"/>
    <m/>
    <m/>
    <x v="0"/>
    <n v="7.25"/>
    <s v="Promotion"/>
    <s v="VIP HR WONG "/>
    <m/>
  </r>
  <r>
    <x v="23"/>
    <x v="0"/>
    <m/>
    <m/>
    <m/>
    <m/>
    <m/>
    <n v="19.989999999999998"/>
    <m/>
    <m/>
    <x v="0"/>
    <n v="19.989999999999998"/>
    <s v="Promotion"/>
    <s v="VIP EXEC BASNETT"/>
    <m/>
  </r>
  <r>
    <x v="23"/>
    <x v="0"/>
    <m/>
    <m/>
    <m/>
    <m/>
    <m/>
    <n v="23"/>
    <m/>
    <m/>
    <x v="0"/>
    <n v="23"/>
    <s v="Promotion"/>
    <s v="VIP VLNG LOUINEAU"/>
    <m/>
  </r>
  <r>
    <x v="23"/>
    <x v="0"/>
    <m/>
    <m/>
    <m/>
    <m/>
    <m/>
    <n v="7.25"/>
    <m/>
    <m/>
    <x v="0"/>
    <n v="7.25"/>
    <s v="Promotion"/>
    <s v="VIP HR LECLERC"/>
    <m/>
  </r>
  <r>
    <x v="23"/>
    <x v="0"/>
    <m/>
    <m/>
    <m/>
    <m/>
    <m/>
    <n v="7.25"/>
    <m/>
    <m/>
    <x v="0"/>
    <n v="7.25"/>
    <s v="Promotion"/>
    <s v="VIP HR XIAO"/>
    <m/>
  </r>
  <r>
    <x v="23"/>
    <x v="0"/>
    <m/>
    <m/>
    <m/>
    <m/>
    <m/>
    <n v="7.25"/>
    <m/>
    <m/>
    <x v="0"/>
    <n v="7.25"/>
    <s v="Promotion"/>
    <s v="VIP HR BURDI"/>
    <m/>
  </r>
  <r>
    <x v="23"/>
    <x v="0"/>
    <m/>
    <m/>
    <m/>
    <m/>
    <m/>
    <n v="19.989999999999998"/>
    <m/>
    <m/>
    <x v="0"/>
    <n v="19.989999999999998"/>
    <s v="Promotion"/>
    <s v="VIP AMBAS GIKHER"/>
    <m/>
  </r>
  <r>
    <x v="23"/>
    <x v="0"/>
    <m/>
    <m/>
    <m/>
    <m/>
    <m/>
    <n v="6.95"/>
    <m/>
    <m/>
    <x v="0"/>
    <n v="6.95"/>
    <s v="Promotion"/>
    <s v="VIP HR BLASCO"/>
    <m/>
  </r>
  <r>
    <x v="23"/>
    <x v="0"/>
    <m/>
    <m/>
    <m/>
    <m/>
    <m/>
    <n v="6.95"/>
    <m/>
    <m/>
    <x v="0"/>
    <n v="6.95"/>
    <s v="Promotion"/>
    <s v="VIP HR NIERMANN"/>
    <m/>
  </r>
  <r>
    <x v="23"/>
    <x v="0"/>
    <m/>
    <m/>
    <m/>
    <m/>
    <m/>
    <n v="6.95"/>
    <m/>
    <m/>
    <x v="0"/>
    <n v="6.95"/>
    <s v="Promotion"/>
    <s v="VIP HR PRESCOTT"/>
    <m/>
  </r>
  <r>
    <x v="23"/>
    <x v="0"/>
    <m/>
    <m/>
    <m/>
    <m/>
    <m/>
    <n v="6.95"/>
    <m/>
    <m/>
    <x v="0"/>
    <n v="6.95"/>
    <s v="Promotion"/>
    <s v="VIP HR CORNER"/>
    <m/>
  </r>
  <r>
    <x v="23"/>
    <x v="0"/>
    <m/>
    <m/>
    <m/>
    <m/>
    <m/>
    <n v="6.95"/>
    <m/>
    <m/>
    <x v="0"/>
    <n v="6.95"/>
    <s v="Promotion"/>
    <s v="VIP HR KLEEMISS"/>
    <m/>
  </r>
  <r>
    <x v="23"/>
    <x v="0"/>
    <m/>
    <m/>
    <m/>
    <m/>
    <m/>
    <n v="6.95"/>
    <m/>
    <m/>
    <x v="0"/>
    <n v="6.95"/>
    <s v="Promotion"/>
    <s v="VIP HR NATH"/>
    <m/>
  </r>
  <r>
    <x v="23"/>
    <x v="0"/>
    <m/>
    <m/>
    <m/>
    <m/>
    <m/>
    <n v="6.95"/>
    <m/>
    <m/>
    <x v="0"/>
    <n v="6.95"/>
    <s v="Promotion"/>
    <s v="VIP HR KOHNSTANN"/>
    <m/>
  </r>
  <r>
    <x v="23"/>
    <x v="0"/>
    <m/>
    <m/>
    <m/>
    <m/>
    <m/>
    <n v="31.5"/>
    <m/>
    <n v="4.7300000000000004"/>
    <x v="0"/>
    <n v="36.230000000000004"/>
    <s v="Promotion"/>
    <s v="CLIENTS DU RESTO - GIOVANNI"/>
    <m/>
  </r>
  <r>
    <x v="23"/>
    <x v="0"/>
    <m/>
    <m/>
    <m/>
    <m/>
    <m/>
    <n v="42"/>
    <m/>
    <m/>
    <x v="0"/>
    <n v="42"/>
    <s v="Promotion"/>
    <s v="VIP COBALT HALLIK"/>
    <m/>
  </r>
  <r>
    <x v="23"/>
    <x v="0"/>
    <m/>
    <m/>
    <m/>
    <m/>
    <m/>
    <n v="43"/>
    <m/>
    <m/>
    <x v="0"/>
    <n v="43"/>
    <s v="Promotion"/>
    <s v="VIP COBALT HALLIK"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  <r>
    <x v="24"/>
    <x v="2"/>
    <m/>
    <m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eau croisé dynamique1" cacheId="18" dataOnRows="1" applyNumberFormats="0" applyBorderFormats="0" applyFontFormats="0" applyPatternFormats="0" applyAlignmentFormats="0" applyWidthHeightFormats="1" dataCaption="Données" grandTotalCaption="Total" updatedVersion="8" minRefreshableVersion="3" showMemberPropertyTips="0" useAutoFormatting="1" itemPrintTitles="1" createdVersion="5" indent="0" compact="0" compactData="0" gridDropZones="1">
  <location ref="A5:E33" firstHeaderRow="1" firstDataRow="2" firstDataCol="2" rowPageCount="1" colPageCount="1"/>
  <pivotFields count="15">
    <pivotField name=" " axis="axisPage" compact="0" outline="0" subtotalTop="0" multipleItemSelectionAllowed="1" showAll="0" includeNewItemsInFilter="1">
      <items count="3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1"/>
        <item h="1" x="20"/>
        <item h="1" x="22"/>
        <item x="23"/>
        <item h="1" m="1" x="26"/>
        <item h="1" m="1" x="25"/>
        <item h="1" m="1" x="27"/>
        <item h="1" m="1" x="28"/>
        <item h="1" m="1" x="29"/>
        <item m="1" x="30"/>
        <item h="1" m="1" x="31"/>
        <item h="1" x="24"/>
        <item t="default"/>
      </items>
    </pivotField>
    <pivotField axis="axisRow" compact="0" outline="0" subtotalTop="0" showAll="0" includeNewItemsInFilter="1">
      <items count="9">
        <item m="1" x="4"/>
        <item x="1"/>
        <item m="1" x="3"/>
        <item x="2"/>
        <item x="0"/>
        <item m="1" x="6"/>
        <item m="1" x="7"/>
        <item m="1" x="5"/>
        <item t="default"/>
      </items>
    </pivotField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howAll="0"/>
    <pivotField dataField="1" compact="0" outline="0" subtotalTop="0" showAll="0" includeNewItemsInFilter="1"/>
    <pivotField dataField="1" compact="0" outline="0" subtotalTop="0" showAll="0" includeNewItemsInFilter="1"/>
    <pivotField axis="axisCol" compact="0" outline="0" subtotalTop="0" showAll="0" includeNewItemsInFilter="1">
      <items count="23">
        <item x="0"/>
        <item x="1"/>
        <item x="2"/>
        <item m="1" x="19"/>
        <item m="1" x="20"/>
        <item m="1" x="4"/>
        <item m="1" x="5"/>
        <item m="1" x="9"/>
        <item m="1" x="10"/>
        <item m="1" x="11"/>
        <item m="1" x="7"/>
        <item m="1" x="8"/>
        <item m="1" x="21"/>
        <item m="1" x="3"/>
        <item m="1" x="6"/>
        <item m="1" x="13"/>
        <item m="1" x="14"/>
        <item m="1" x="15"/>
        <item m="1" x="16"/>
        <item m="1" x="17"/>
        <item m="1" x="18"/>
        <item m="1" x="12"/>
        <item t="default"/>
      </items>
    </pivotField>
    <pivotField dataField="1" compact="0" numFmtId="2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2">
    <field x="1"/>
    <field x="-2"/>
  </rowFields>
  <rowItems count="27"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>
      <x v="4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  <i t="grand" i="7">
      <x/>
    </i>
    <i t="grand" i="8">
      <x/>
    </i>
  </rowItems>
  <colFields count="1">
    <field x="10"/>
  </colFields>
  <colItems count="3">
    <i>
      <x/>
    </i>
    <i>
      <x v="1"/>
    </i>
    <i t="grand">
      <x/>
    </i>
  </colItems>
  <pageFields count="1">
    <pageField fld="0" hier="0"/>
  </pageFields>
  <dataFields count="9">
    <dataField name="00" fld="2" baseField="0" baseItem="0"/>
    <dataField name="Sum of Tabagie" fld="7" baseField="1" baseItem="1"/>
    <dataField name="Somme de Boisson" fld="3" baseField="0" baseItem="0"/>
    <dataField name="Somme de Biere" fld="4" baseField="0" baseItem="0"/>
    <dataField name="Somme de Mineraux" fld="6" baseField="0" baseItem="0"/>
    <dataField name="Somme de Vin" fld="5" baseField="0" baseItem="0"/>
    <dataField name="Somme de Autres" fld="8" baseField="0" baseItem="0"/>
    <dataField name="Somme de Pourboire" fld="9" baseField="0" baseItem="0" numFmtId="2"/>
    <dataField name="Somme de Total" fld="11" baseField="0" baseItem="0"/>
  </dataFields>
  <formats count="25">
    <format dxfId="124">
      <pivotArea dataOnly="0" labelOnly="1" grandCol="1" outline="0" fieldPosition="0"/>
    </format>
    <format dxfId="123">
      <pivotArea field="1" grandCol="1" outline="0" axis="axisRow" fieldPosition="0">
        <references count="2">
          <reference field="4294967294" count="1" selected="0">
            <x v="7"/>
          </reference>
          <reference field="1" count="1" selected="0">
            <x v="0"/>
          </reference>
        </references>
      </pivotArea>
    </format>
    <format dxfId="122">
      <pivotArea field="1" grandCol="1" outline="0" axis="axisRow" fieldPosition="0">
        <references count="2">
          <reference field="4294967294" count="1" selected="0">
            <x v="7"/>
          </reference>
          <reference field="1" count="1" selected="0">
            <x v="0"/>
          </reference>
        </references>
      </pivotArea>
    </format>
    <format dxfId="121">
      <pivotArea field="1" grandCol="1" outline="0" axis="axisRow" fieldPosition="0">
        <references count="2">
          <reference field="4294967294" count="1" selected="0">
            <x v="7"/>
          </reference>
          <reference field="1" count="1" selected="0">
            <x v="1"/>
          </reference>
        </references>
      </pivotArea>
    </format>
    <format dxfId="120">
      <pivotArea field="1" grandCol="1" outline="0" axis="axisRow" fieldPosition="0">
        <references count="2">
          <reference field="4294967294" count="1" selected="0">
            <x v="7"/>
          </reference>
          <reference field="1" count="1" selected="0">
            <x v="2"/>
          </reference>
        </references>
      </pivotArea>
    </format>
    <format dxfId="119">
      <pivotArea outline="0" fieldPosition="0">
        <references count="1">
          <reference field="4294967294" count="1">
            <x v="7"/>
          </reference>
        </references>
      </pivotArea>
    </format>
    <format dxfId="118">
      <pivotArea field="1" grandRow="1" outline="0" axis="axisRow" fieldPosition="0">
        <references count="1">
          <reference field="4294967294" count="1" selected="0">
            <x v="3"/>
          </reference>
        </references>
      </pivotArea>
    </format>
    <format dxfId="117">
      <pivotArea outline="0" collapsedLevelsAreSubtotals="1" fieldPosition="0"/>
    </format>
    <format dxfId="116">
      <pivotArea outline="0" fieldPosition="0">
        <references count="1">
          <reference field="10" count="1" selected="0">
            <x v="15"/>
          </reference>
        </references>
      </pivotArea>
    </format>
    <format dxfId="115">
      <pivotArea field="1" grandCol="1" outline="0" axis="axisRow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format>
    <format dxfId="114">
      <pivotArea field="1" grandCol="1" outline="0" axis="axisRow" fieldPosition="0">
        <references count="2">
          <reference field="4294967294" count="1" selected="0">
            <x v="7"/>
          </reference>
          <reference field="1" count="1" selected="0">
            <x v="1"/>
          </reference>
        </references>
      </pivotArea>
    </format>
    <format dxfId="113">
      <pivotArea field="1" grandCol="1" outline="0" axis="axisRow" fieldPosition="0">
        <references count="2">
          <reference field="4294967294" count="2" selected="0">
            <x v="7"/>
            <x v="8"/>
          </reference>
          <reference field="1" count="1" selected="0">
            <x v="1"/>
          </reference>
        </references>
      </pivotArea>
    </format>
    <format dxfId="112">
      <pivotArea field="1" grandCol="1" outline="0" axis="axisRow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format>
    <format dxfId="111">
      <pivotArea field="1" grandCol="1" outline="0" axis="axisRow" fieldPosition="0">
        <references count="2">
          <reference field="4294967294" count="2" selected="0">
            <x v="7"/>
            <x v="8"/>
          </reference>
          <reference field="1" count="1" selected="0">
            <x v="4"/>
          </reference>
        </references>
      </pivotArea>
    </format>
    <format dxfId="110">
      <pivotArea grandRow="1" grandCol="1" outline="0" fieldPosition="0">
        <references count="1">
          <reference field="4294967294" count="8" selected="0">
            <x v="0"/>
            <x v="2"/>
            <x v="3"/>
            <x v="4"/>
            <x v="5"/>
            <x v="6"/>
            <x v="7"/>
            <x v="8"/>
          </reference>
        </references>
      </pivotArea>
    </format>
    <format dxfId="109">
      <pivotArea field="10" grandRow="1" outline="0" axis="axisCol" fieldPosition="0">
        <references count="2">
          <reference field="4294967294" count="1" selected="0">
            <x v="8"/>
          </reference>
          <reference field="10" count="2" selected="0">
            <x v="0"/>
            <x v="1"/>
          </reference>
        </references>
      </pivotArea>
    </format>
    <format dxfId="108">
      <pivotArea field="10" grandRow="1" outline="0" axis="axisCol" fieldPosition="0">
        <references count="2">
          <reference field="4294967294" count="1" selected="0">
            <x v="7"/>
          </reference>
          <reference field="10" count="2" selected="0">
            <x v="0"/>
            <x v="1"/>
          </reference>
        </references>
      </pivotArea>
    </format>
    <format dxfId="107">
      <pivotArea field="10" grandRow="1" outline="0" axis="axisCol" fieldPosition="0">
        <references count="2">
          <reference field="4294967294" count="1" selected="0">
            <x v="7"/>
          </reference>
          <reference field="10" count="2" selected="0">
            <x v="0"/>
            <x v="1"/>
          </reference>
        </references>
      </pivotArea>
    </format>
    <format dxfId="106">
      <pivotArea outline="0" fieldPosition="0">
        <references count="3">
          <reference field="4294967294" count="8" selected="0">
            <x v="0"/>
            <x v="2"/>
            <x v="3"/>
            <x v="4"/>
            <x v="5"/>
            <x v="6"/>
            <x v="7"/>
            <x v="8"/>
          </reference>
          <reference field="1" count="2" selected="0">
            <x v="1"/>
            <x v="4"/>
          </reference>
          <reference field="10" count="2" selected="0">
            <x v="0"/>
            <x v="1"/>
          </reference>
        </references>
      </pivotArea>
    </format>
    <format dxfId="105">
      <pivotArea field="10" grandRow="1" outline="0" axis="axisCol" fieldPosition="0">
        <references count="2">
          <reference field="4294967294" count="5" selected="0">
            <x v="0"/>
            <x v="2"/>
            <x v="3"/>
            <x v="4"/>
            <x v="5"/>
          </reference>
          <reference field="10" count="2" selected="0">
            <x v="0"/>
            <x v="1"/>
          </reference>
        </references>
      </pivotArea>
    </format>
    <format dxfId="104">
      <pivotArea outline="0" collapsedLevelsAreSubtotals="1" fieldPosition="0"/>
    </format>
    <format dxfId="103">
      <pivotArea field="10" type="button" dataOnly="0" labelOnly="1" outline="0" axis="axisCol" fieldPosition="0"/>
    </format>
    <format dxfId="102">
      <pivotArea type="topRight" dataOnly="0" labelOnly="1" outline="0" fieldPosition="0"/>
    </format>
    <format dxfId="101">
      <pivotArea dataOnly="0" labelOnly="1" outline="0" fieldPosition="0">
        <references count="1">
          <reference field="10" count="2">
            <x v="0"/>
            <x v="1"/>
          </reference>
        </references>
      </pivotArea>
    </format>
    <format dxfId="100">
      <pivotArea dataOnly="0" labelOnly="1" grandCol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C43C2C2-871E-483D-8B65-AEDBB2FFB44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0654ebb-99e9-4e4b-8e67-cd1bebcae80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5"/>
  <dimension ref="A1:I45"/>
  <sheetViews>
    <sheetView zoomScaleNormal="100" workbookViewId="0">
      <selection activeCell="L10" sqref="L10"/>
    </sheetView>
  </sheetViews>
  <sheetFormatPr baseColWidth="10" defaultColWidth="10.85546875" defaultRowHeight="12.75" x14ac:dyDescent="0.2"/>
  <cols>
    <col min="1" max="1" width="40.7109375" bestFit="1" customWidth="1"/>
    <col min="2" max="2" width="9.28515625" bestFit="1" customWidth="1"/>
    <col min="3" max="3" width="9.5703125" bestFit="1" customWidth="1"/>
    <col min="4" max="4" width="18.42578125" bestFit="1" customWidth="1"/>
    <col min="5" max="5" width="13.5703125" customWidth="1"/>
    <col min="6" max="6" width="10.85546875" bestFit="1" customWidth="1"/>
    <col min="7" max="7" width="12" bestFit="1" customWidth="1"/>
    <col min="8" max="8" width="11.85546875" customWidth="1"/>
    <col min="9" max="9" width="11.7109375" bestFit="1" customWidth="1"/>
  </cols>
  <sheetData>
    <row r="1" spans="1:9" x14ac:dyDescent="0.2">
      <c r="A1" t="s">
        <v>24</v>
      </c>
      <c r="D1" s="30" t="s">
        <v>111</v>
      </c>
    </row>
    <row r="2" spans="1:9" x14ac:dyDescent="0.2">
      <c r="A2" s="1"/>
    </row>
    <row r="3" spans="1:9" x14ac:dyDescent="0.2">
      <c r="A3" s="58" t="s">
        <v>40</v>
      </c>
      <c r="B3" s="58"/>
      <c r="C3" s="58"/>
      <c r="D3" s="58"/>
      <c r="E3" s="58"/>
      <c r="F3" s="58"/>
      <c r="G3" s="58"/>
      <c r="H3" s="58"/>
      <c r="I3" s="58"/>
    </row>
    <row r="4" spans="1:9" x14ac:dyDescent="0.2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83</v>
      </c>
      <c r="I4" s="5" t="s">
        <v>32</v>
      </c>
    </row>
    <row r="5" spans="1:9" x14ac:dyDescent="0.2">
      <c r="A5" s="6" t="s">
        <v>78</v>
      </c>
      <c r="B5" s="38">
        <f>DSUM(_xlnm.Database,3,crit_Link)</f>
        <v>0</v>
      </c>
      <c r="C5" s="37">
        <f>DSUM(_xlnm.Database,4,crit_Link)</f>
        <v>0</v>
      </c>
      <c r="D5" s="37">
        <f>DSUM(_xlnm.Database,5,crit_Link)</f>
        <v>0</v>
      </c>
      <c r="E5" s="37">
        <f>DSUM(_xlnm.Database,6,crit_Link)</f>
        <v>0</v>
      </c>
      <c r="F5" s="37">
        <f>DSUM(_xlnm.Database,7,crit_Link)</f>
        <v>0</v>
      </c>
      <c r="G5" s="37">
        <f>DSUM(_xlnm.Database,9,crit_Link)+DSUM(_xlnm.Database,10,crit_Link)</f>
        <v>0</v>
      </c>
      <c r="H5" s="37">
        <f>DSUM(_xlnm.Database,8,crit_Link)</f>
        <v>0</v>
      </c>
      <c r="I5" s="37">
        <f t="shared" ref="I5:I10" si="0">SUM(B5:H5)</f>
        <v>0</v>
      </c>
    </row>
    <row r="6" spans="1:9" x14ac:dyDescent="0.2">
      <c r="A6" s="7" t="s">
        <v>19</v>
      </c>
      <c r="B6" s="38">
        <f>DSUM(_xlnm.Database,3,crit_cupola)</f>
        <v>0</v>
      </c>
      <c r="C6" s="38">
        <f>DSUM(_xlnm.Database,4,crit_cupola)</f>
        <v>0</v>
      </c>
      <c r="D6" s="38">
        <f>DSUM(_xlnm.Database,5,crit_cupola)</f>
        <v>0</v>
      </c>
      <c r="E6" s="38">
        <f>DSUM(_xlnm.Database,6,crit_cupola)</f>
        <v>0</v>
      </c>
      <c r="F6" s="38">
        <f>DSUM(_xlnm.Database,7,crit_cupola)</f>
        <v>0</v>
      </c>
      <c r="G6" s="38">
        <f>DSUM(_xlnm.Database,10,crit_cupola)+DSUM(_xlnm.Database,9,crit_cupola)</f>
        <v>0</v>
      </c>
      <c r="H6" s="38">
        <f>DSUM(_xlnm.Database,8,crit_cupola)</f>
        <v>0</v>
      </c>
      <c r="I6" s="38">
        <f t="shared" si="0"/>
        <v>0</v>
      </c>
    </row>
    <row r="7" spans="1:9" x14ac:dyDescent="0.2">
      <c r="A7" s="7" t="s">
        <v>20</v>
      </c>
      <c r="B7" s="38">
        <f>DSUM(_xlnm.Database,3,crit_piazza)</f>
        <v>11758.53</v>
      </c>
      <c r="C7" s="38">
        <f>DSUM(_xlnm.Database,4,crit_piazza)</f>
        <v>1006</v>
      </c>
      <c r="D7" s="38">
        <f>DSUM(_xlnm.Database,5,crit_piazza)</f>
        <v>55</v>
      </c>
      <c r="E7" s="38">
        <f>DSUM(_xlnm.Database,6,crit_piazza)</f>
        <v>1830</v>
      </c>
      <c r="F7" s="38">
        <f>DSUM(_xlnm.Database,7,crit_piazza)</f>
        <v>475.24</v>
      </c>
      <c r="G7" s="38">
        <f>DSUM(_xlnm.Database,10,crit_piazza)+DSUM(_xlnm.Database,9,crit_piazza)</f>
        <v>2208.06</v>
      </c>
      <c r="H7" s="38">
        <f>DSUM(_xlnm.Database,8,crit_piazza)</f>
        <v>46.25</v>
      </c>
      <c r="I7" s="38">
        <f t="shared" si="0"/>
        <v>17379.080000000002</v>
      </c>
    </row>
    <row r="8" spans="1:9" x14ac:dyDescent="0.2">
      <c r="A8" s="7" t="s">
        <v>21</v>
      </c>
      <c r="B8" s="38">
        <f>DSUM(_xlnm.Database,3,crit_banquet)</f>
        <v>0</v>
      </c>
      <c r="C8" s="38">
        <f>DSUM(_xlnm.Database,4,crit_banquet)</f>
        <v>0</v>
      </c>
      <c r="D8" s="38">
        <f>DSUM(_xlnm.Database,5,crit_banquet)</f>
        <v>0</v>
      </c>
      <c r="E8" s="38">
        <f>DSUM(_xlnm.Database,6,crit_banquet)</f>
        <v>0</v>
      </c>
      <c r="F8" s="38">
        <f>DSUM(_xlnm.Database,7,crit_banquet)</f>
        <v>0</v>
      </c>
      <c r="G8" s="38">
        <f>DSUM(_xlnm.Database,10,crit_banquet)+DSUM(_xlnm.Database,9,crit_banquet)</f>
        <v>0</v>
      </c>
      <c r="H8" s="38">
        <f>DSUM(_xlnm.Database,8,crit_banquet)</f>
        <v>0</v>
      </c>
      <c r="I8" s="38">
        <f t="shared" si="0"/>
        <v>0</v>
      </c>
    </row>
    <row r="9" spans="1:9" x14ac:dyDescent="0.2">
      <c r="A9" s="7" t="s">
        <v>22</v>
      </c>
      <c r="B9" s="38">
        <f>DSUM(_xlnm.Database,3,crit_servch)</f>
        <v>0</v>
      </c>
      <c r="C9" s="38">
        <f>DSUM(_xlnm.Database,4,crit_servch)</f>
        <v>0</v>
      </c>
      <c r="D9" s="38">
        <f>DSUM(_xlnm.Database,5,crit_servch)</f>
        <v>0</v>
      </c>
      <c r="E9" s="38">
        <f>DSUM(_xlnm.Database,6,crit_servch)</f>
        <v>0</v>
      </c>
      <c r="F9" s="38">
        <f>DSUM(_xlnm.Database,7,crit_servch)</f>
        <v>0</v>
      </c>
      <c r="G9" s="38">
        <f>DSUM(_xlnm.Database,10,crit_servch)+DSUM(_xlnm.Database,9,crit_servch)</f>
        <v>0</v>
      </c>
      <c r="H9" s="38">
        <f>DSUM(_xlnm.Database,8,crit_servch)</f>
        <v>0</v>
      </c>
      <c r="I9" s="38">
        <f t="shared" si="0"/>
        <v>0</v>
      </c>
    </row>
    <row r="10" spans="1:9" x14ac:dyDescent="0.2">
      <c r="A10" s="8" t="s">
        <v>23</v>
      </c>
      <c r="B10" s="39">
        <f>DSUM(_xlnm.Database,3,crit_tabagie)</f>
        <v>1391.6600000000003</v>
      </c>
      <c r="C10" s="39">
        <f>DSUM(_xlnm.Database,4,crit_tabagie)</f>
        <v>0</v>
      </c>
      <c r="D10" s="39">
        <f>DSUM(_xlnm.Database,5,crit_tabagie)</f>
        <v>0</v>
      </c>
      <c r="E10" s="39">
        <f>DSUM(_xlnm.Database,6,crit_tabagie)</f>
        <v>0</v>
      </c>
      <c r="F10" s="39">
        <f>DSUM(_xlnm.Database,7,crit_tabagie)</f>
        <v>8.75</v>
      </c>
      <c r="G10" s="39">
        <f>DSUM(_xlnm.Database,10,crit_tabagie)+DSUM(_xlnm.Database,9,crit_tabagie)</f>
        <v>310.53000000000003</v>
      </c>
      <c r="H10" s="39">
        <f>DSUM(_xlnm.Database,8,crit_tabagie)</f>
        <v>4287.5199999999904</v>
      </c>
      <c r="I10" s="39">
        <f t="shared" si="0"/>
        <v>5998.4599999999909</v>
      </c>
    </row>
    <row r="11" spans="1:9" x14ac:dyDescent="0.2">
      <c r="A11" s="4" t="s">
        <v>32</v>
      </c>
      <c r="B11" s="40">
        <f>SUM(B5:B10)</f>
        <v>13150.19</v>
      </c>
      <c r="C11" s="40">
        <f t="shared" ref="C11:H11" si="1">SUM(C5:C10)</f>
        <v>1006</v>
      </c>
      <c r="D11" s="40">
        <f t="shared" si="1"/>
        <v>55</v>
      </c>
      <c r="E11" s="40">
        <f t="shared" si="1"/>
        <v>1830</v>
      </c>
      <c r="F11" s="40">
        <f t="shared" si="1"/>
        <v>483.99</v>
      </c>
      <c r="G11" s="40">
        <f>SUM(G5:G10)</f>
        <v>2518.59</v>
      </c>
      <c r="H11" s="40">
        <f t="shared" si="1"/>
        <v>4333.7699999999904</v>
      </c>
      <c r="I11" s="40">
        <f>SUM(I5:I10)</f>
        <v>23377.539999999994</v>
      </c>
    </row>
    <row r="12" spans="1:9" x14ac:dyDescent="0.2">
      <c r="A12" s="1" t="s">
        <v>41</v>
      </c>
      <c r="B12" s="42"/>
      <c r="C12" s="42"/>
      <c r="D12" s="42"/>
      <c r="E12" s="42"/>
      <c r="F12" s="42"/>
      <c r="G12" s="42"/>
      <c r="H12" s="42"/>
      <c r="I12" s="42">
        <f>+grand_total</f>
        <v>591.91999999999996</v>
      </c>
    </row>
    <row r="14" spans="1:9" x14ac:dyDescent="0.2">
      <c r="A14" s="58" t="s">
        <v>45</v>
      </c>
      <c r="B14" s="58"/>
      <c r="C14" s="58"/>
      <c r="D14" s="58"/>
      <c r="E14" s="58"/>
      <c r="F14" s="58"/>
      <c r="G14" s="58"/>
      <c r="H14" s="58"/>
      <c r="I14" s="58"/>
    </row>
    <row r="15" spans="1:9" x14ac:dyDescent="0.2">
      <c r="A15" s="5" t="s">
        <v>25</v>
      </c>
      <c r="B15" s="5" t="s">
        <v>26</v>
      </c>
      <c r="C15" s="5" t="s">
        <v>27</v>
      </c>
      <c r="D15" s="5" t="s">
        <v>28</v>
      </c>
      <c r="E15" s="5" t="s">
        <v>29</v>
      </c>
      <c r="F15" s="5" t="s">
        <v>30</v>
      </c>
      <c r="G15" s="5" t="s">
        <v>83</v>
      </c>
      <c r="H15" s="5"/>
      <c r="I15" s="5" t="s">
        <v>32</v>
      </c>
    </row>
    <row r="16" spans="1:9" x14ac:dyDescent="0.2">
      <c r="A16" s="6" t="s">
        <v>42</v>
      </c>
      <c r="B16" s="37">
        <f>DSUM(_xlnm.Database,3,crit_pmt14)</f>
        <v>4128.9599999999991</v>
      </c>
      <c r="C16" s="37">
        <f>DSUM(_xlnm.Database,4,crit_pmt14)</f>
        <v>176.5</v>
      </c>
      <c r="D16" s="37">
        <f>DSUM(_xlnm.Database,5,crit_pmt14)</f>
        <v>9</v>
      </c>
      <c r="E16" s="37">
        <f>DSUM(_xlnm.Database,6,crit_pmt14)</f>
        <v>0</v>
      </c>
      <c r="F16" s="37">
        <f>DSUM(_xlnm.Database,7,crit_pmt14)</f>
        <v>281.75</v>
      </c>
      <c r="G16" s="37">
        <f>DSUM(_xlnm.Database,8,crit_pmt14)</f>
        <v>825.19000000000017</v>
      </c>
      <c r="H16" s="37"/>
      <c r="I16" s="37">
        <f>SUM(B16:G16)</f>
        <v>5421.4</v>
      </c>
    </row>
    <row r="17" spans="1:9" x14ac:dyDescent="0.2">
      <c r="A17" s="7" t="s">
        <v>44</v>
      </c>
      <c r="B17" s="38">
        <f>DSUM(_xlnm.Database,3,crit_pmt15)</f>
        <v>9021.23</v>
      </c>
      <c r="C17" s="38">
        <f>DSUM(_xlnm.Database,4,crit_pmt15)</f>
        <v>829.5</v>
      </c>
      <c r="D17" s="38">
        <f>DSUM(_xlnm.Database,5,crit_pmt15)</f>
        <v>46</v>
      </c>
      <c r="E17" s="38">
        <f>DSUM(_xlnm.Database,6,crit_pmt15)</f>
        <v>1830</v>
      </c>
      <c r="F17" s="38">
        <f>DSUM(_xlnm.Database,7,crit_pmt15)</f>
        <v>202.24</v>
      </c>
      <c r="G17" s="38">
        <f>DSUM(_xlnm.Database,8,crit_pmt15)</f>
        <v>3508.579999999994</v>
      </c>
      <c r="H17" s="38"/>
      <c r="I17" s="38">
        <f>SUM(B17:G17)</f>
        <v>15437.549999999994</v>
      </c>
    </row>
    <row r="18" spans="1:9" x14ac:dyDescent="0.2">
      <c r="A18" s="7" t="s">
        <v>43</v>
      </c>
      <c r="B18" s="38">
        <f>DSUM(_xlnm.Database,3,crit_pmt17)</f>
        <v>0</v>
      </c>
      <c r="C18" s="38">
        <f>DSUM(_xlnm.Database,4,crit_pmt17)</f>
        <v>0</v>
      </c>
      <c r="D18" s="38">
        <f>DSUM(_xlnm.Database,5,crit_pmt17)</f>
        <v>0</v>
      </c>
      <c r="E18" s="38">
        <f>DSUM(_xlnm.Database,6,crit_pmt17)</f>
        <v>0</v>
      </c>
      <c r="F18" s="38">
        <f>DSUM(_xlnm.Database,7,crit_pmt17)</f>
        <v>0</v>
      </c>
      <c r="G18" s="38">
        <f>DSUM(_xlnm.Database,8,crit_pmt17)</f>
        <v>0</v>
      </c>
      <c r="H18" s="38"/>
      <c r="I18" s="38">
        <f>SUM(B18:G18)</f>
        <v>0</v>
      </c>
    </row>
    <row r="19" spans="1:9" x14ac:dyDescent="0.2">
      <c r="A19" s="8" t="s">
        <v>53</v>
      </c>
      <c r="B19" s="38">
        <f>DSUM(_xlnm.Database,3,crit_pmt500)</f>
        <v>13150.19000000001</v>
      </c>
      <c r="C19" s="38">
        <f>DSUM(_xlnm.Database,4,crit_pmt500)</f>
        <v>1006</v>
      </c>
      <c r="D19" s="38">
        <f>DSUM(_xlnm.Database,5,crit_pmt500)</f>
        <v>55</v>
      </c>
      <c r="E19" s="38">
        <f>DSUM(_xlnm.Database,6,crit_pmt500)</f>
        <v>1830</v>
      </c>
      <c r="F19" s="38">
        <f>DSUM(_xlnm.Database,7,crit_pmt500)</f>
        <v>483.99</v>
      </c>
      <c r="G19" s="39">
        <f>DSUM(_xlnm.Database,8,crit_pmt500)</f>
        <v>4333.7699999999904</v>
      </c>
      <c r="H19" s="39"/>
      <c r="I19" s="39">
        <f>SUM(B19:G19)</f>
        <v>20858.95</v>
      </c>
    </row>
    <row r="20" spans="1:9" x14ac:dyDescent="0.2">
      <c r="A20" s="4" t="s">
        <v>32</v>
      </c>
      <c r="B20" s="40">
        <f>SUM(B16:B19)</f>
        <v>26300.380000000008</v>
      </c>
      <c r="C20" s="40">
        <f>SUM(C16:C19)</f>
        <v>2012</v>
      </c>
      <c r="D20" s="40">
        <f>SUM(D16:D19)</f>
        <v>110</v>
      </c>
      <c r="E20" s="40">
        <f>SUM(E16:E19)</f>
        <v>3660</v>
      </c>
      <c r="F20" s="40">
        <f>SUM(F16:F19)</f>
        <v>967.98</v>
      </c>
      <c r="G20" s="40">
        <f t="shared" ref="G20" si="2">SUM(G16:G19)</f>
        <v>8667.5399999999845</v>
      </c>
      <c r="H20" s="40"/>
      <c r="I20" s="40">
        <f>SUM(I16:I19)</f>
        <v>41717.899999999994</v>
      </c>
    </row>
    <row r="21" spans="1:9" x14ac:dyDescent="0.2">
      <c r="I21" s="41">
        <f>+I11-G11-H11</f>
        <v>16525.180000000004</v>
      </c>
    </row>
    <row r="22" spans="1:9" x14ac:dyDescent="0.2">
      <c r="A22" s="58" t="s">
        <v>46</v>
      </c>
      <c r="B22" s="58"/>
      <c r="C22" s="58"/>
      <c r="D22" s="58"/>
      <c r="E22" s="58"/>
      <c r="F22" s="58"/>
      <c r="G22" s="58"/>
      <c r="H22" s="58"/>
      <c r="I22" s="58"/>
    </row>
    <row r="23" spans="1:9" x14ac:dyDescent="0.2">
      <c r="B23" s="3">
        <v>0.37</v>
      </c>
      <c r="C23" s="3">
        <v>0.19400000000000001</v>
      </c>
      <c r="D23" s="3">
        <v>0.3075</v>
      </c>
      <c r="E23" s="3">
        <v>0.34499999999999997</v>
      </c>
      <c r="F23" s="3">
        <v>0.22500000000000001</v>
      </c>
      <c r="G23" s="3">
        <v>0.6</v>
      </c>
    </row>
    <row r="24" spans="1:9" x14ac:dyDescent="0.2">
      <c r="A24" s="5" t="s">
        <v>25</v>
      </c>
      <c r="B24" s="5" t="s">
        <v>26</v>
      </c>
      <c r="C24" s="5" t="s">
        <v>27</v>
      </c>
      <c r="D24" s="5" t="s">
        <v>28</v>
      </c>
      <c r="E24" s="5" t="s">
        <v>29</v>
      </c>
      <c r="F24" s="5" t="s">
        <v>30</v>
      </c>
      <c r="G24" s="5" t="s">
        <v>83</v>
      </c>
      <c r="H24" s="5"/>
      <c r="I24" s="5" t="s">
        <v>32</v>
      </c>
    </row>
    <row r="25" spans="1:9" x14ac:dyDescent="0.2">
      <c r="A25" s="6" t="s">
        <v>42</v>
      </c>
      <c r="B25" s="37">
        <f>+B16*B$23</f>
        <v>1527.7151999999996</v>
      </c>
      <c r="C25" s="37">
        <f>+C16*C$23</f>
        <v>34.241</v>
      </c>
      <c r="D25" s="37">
        <f>+D16*D$23</f>
        <v>2.7675000000000001</v>
      </c>
      <c r="E25" s="37">
        <f>+E16*E$23</f>
        <v>0</v>
      </c>
      <c r="F25" s="37">
        <f>+F16*F$23</f>
        <v>63.393750000000004</v>
      </c>
      <c r="G25" s="37">
        <f t="shared" ref="G25" si="3">+G16*G$23</f>
        <v>495.11400000000009</v>
      </c>
      <c r="H25" s="37"/>
      <c r="I25" s="37">
        <f>SUM(B25:G25)</f>
        <v>2123.2314499999998</v>
      </c>
    </row>
    <row r="26" spans="1:9" x14ac:dyDescent="0.2">
      <c r="A26" s="7" t="s">
        <v>44</v>
      </c>
      <c r="B26" s="38">
        <f t="shared" ref="B26:F28" si="4">+B17*B$23</f>
        <v>3337.8550999999998</v>
      </c>
      <c r="C26" s="38">
        <f t="shared" si="4"/>
        <v>160.923</v>
      </c>
      <c r="D26" s="38">
        <f t="shared" si="4"/>
        <v>14.145</v>
      </c>
      <c r="E26" s="38">
        <f t="shared" si="4"/>
        <v>631.34999999999991</v>
      </c>
      <c r="F26" s="38">
        <f t="shared" si="4"/>
        <v>45.504000000000005</v>
      </c>
      <c r="G26" s="38">
        <f>+G17*G$23</f>
        <v>2105.1479999999965</v>
      </c>
      <c r="H26" s="38"/>
      <c r="I26" s="37">
        <f>SUM(B26:G26)</f>
        <v>6294.9250999999958</v>
      </c>
    </row>
    <row r="27" spans="1:9" x14ac:dyDescent="0.2">
      <c r="A27" s="7" t="s">
        <v>43</v>
      </c>
      <c r="B27" s="38">
        <f t="shared" si="4"/>
        <v>0</v>
      </c>
      <c r="C27" s="38">
        <f t="shared" si="4"/>
        <v>0</v>
      </c>
      <c r="D27" s="38">
        <f t="shared" si="4"/>
        <v>0</v>
      </c>
      <c r="E27" s="38">
        <f t="shared" si="4"/>
        <v>0</v>
      </c>
      <c r="F27" s="38">
        <f t="shared" si="4"/>
        <v>0</v>
      </c>
      <c r="G27" s="38">
        <f>+G18*G$23</f>
        <v>0</v>
      </c>
      <c r="H27" s="38"/>
      <c r="I27" s="37">
        <f>SUM(B27:G27)</f>
        <v>0</v>
      </c>
    </row>
    <row r="28" spans="1:9" x14ac:dyDescent="0.2">
      <c r="A28" s="8" t="s">
        <v>54</v>
      </c>
      <c r="B28" s="39">
        <f t="shared" si="4"/>
        <v>4865.570300000003</v>
      </c>
      <c r="C28" s="39">
        <f t="shared" si="4"/>
        <v>195.16400000000002</v>
      </c>
      <c r="D28" s="39">
        <f t="shared" si="4"/>
        <v>16.912500000000001</v>
      </c>
      <c r="E28" s="39">
        <f t="shared" si="4"/>
        <v>631.34999999999991</v>
      </c>
      <c r="F28" s="39">
        <f t="shared" si="4"/>
        <v>108.89775</v>
      </c>
      <c r="G28" s="39">
        <f>+G19*G$23</f>
        <v>2600.2619999999943</v>
      </c>
      <c r="H28" s="38"/>
      <c r="I28" s="37">
        <f>SUM(B28:G28)</f>
        <v>8418.1565499999961</v>
      </c>
    </row>
    <row r="29" spans="1:9" x14ac:dyDescent="0.2">
      <c r="A29" s="4" t="s">
        <v>32</v>
      </c>
      <c r="B29" s="40">
        <f>SUM(B25:B28)</f>
        <v>9731.1406000000025</v>
      </c>
      <c r="C29" s="40">
        <f>SUM(C25:C28)</f>
        <v>390.32799999999997</v>
      </c>
      <c r="D29" s="40">
        <f>SUM(D25:D28)</f>
        <v>33.825000000000003</v>
      </c>
      <c r="E29" s="40">
        <f>SUM(E25:E28)</f>
        <v>1262.6999999999998</v>
      </c>
      <c r="F29" s="40">
        <f>SUM(F25:F28)</f>
        <v>217.7955</v>
      </c>
      <c r="G29" s="40">
        <f t="shared" ref="G29" si="5">SUM(G25:G28)</f>
        <v>5200.5239999999903</v>
      </c>
      <c r="H29" s="40"/>
      <c r="I29" s="40">
        <f>SUM(I25:I28)</f>
        <v>16836.313099999992</v>
      </c>
    </row>
    <row r="30" spans="1:9" x14ac:dyDescent="0.2">
      <c r="A30" s="1"/>
    </row>
    <row r="31" spans="1:9" x14ac:dyDescent="0.2">
      <c r="A31" s="1"/>
    </row>
    <row r="33" spans="1:8" x14ac:dyDescent="0.2">
      <c r="A33" s="1" t="s">
        <v>50</v>
      </c>
      <c r="B33" t="s">
        <v>34</v>
      </c>
      <c r="C33" t="s">
        <v>35</v>
      </c>
      <c r="D33" t="s">
        <v>36</v>
      </c>
      <c r="F33" t="s">
        <v>38</v>
      </c>
      <c r="G33" t="s">
        <v>37</v>
      </c>
    </row>
    <row r="34" spans="1:8" x14ac:dyDescent="0.2">
      <c r="A34">
        <v>944000</v>
      </c>
      <c r="B34">
        <v>2</v>
      </c>
      <c r="D34" s="1" t="str">
        <f>+"Repas hp "&amp;D1</f>
        <v>Repas hp Mars 2026</v>
      </c>
      <c r="E34" s="15"/>
      <c r="F34" t="s">
        <v>39</v>
      </c>
      <c r="G34" s="2">
        <f>+I25</f>
        <v>2123.2314499999998</v>
      </c>
      <c r="H34" s="2"/>
    </row>
    <row r="35" spans="1:8" x14ac:dyDescent="0.2">
      <c r="A35">
        <v>937150</v>
      </c>
      <c r="B35">
        <v>2</v>
      </c>
      <c r="D35" s="1" t="str">
        <f>+"Repas hp "&amp;D1</f>
        <v>Repas hp Mars 2026</v>
      </c>
      <c r="E35" s="15"/>
      <c r="F35" t="s">
        <v>39</v>
      </c>
      <c r="G35" s="2">
        <f>+I26</f>
        <v>6294.9250999999958</v>
      </c>
      <c r="H35" s="2"/>
    </row>
    <row r="36" spans="1:8" x14ac:dyDescent="0.2">
      <c r="A36">
        <v>406830</v>
      </c>
      <c r="B36">
        <v>2</v>
      </c>
      <c r="D36" s="1" t="str">
        <f>+"Repas hp "&amp;D1</f>
        <v>Repas hp Mars 2026</v>
      </c>
      <c r="E36" s="15"/>
      <c r="F36" t="s">
        <v>39</v>
      </c>
      <c r="G36" s="2">
        <f>+I27</f>
        <v>0</v>
      </c>
      <c r="H36" s="2"/>
    </row>
    <row r="37" spans="1:8" x14ac:dyDescent="0.2">
      <c r="A37">
        <v>422000</v>
      </c>
      <c r="B37">
        <v>2</v>
      </c>
      <c r="D37" s="1" t="str">
        <f>+"Repas hp "&amp;D1</f>
        <v>Repas hp Mars 2026</v>
      </c>
      <c r="E37" s="15"/>
      <c r="F37" t="s">
        <v>39</v>
      </c>
      <c r="G37" s="2">
        <f>-B11*B23</f>
        <v>-4865.5703000000003</v>
      </c>
      <c r="H37" s="2"/>
    </row>
    <row r="38" spans="1:8" x14ac:dyDescent="0.2">
      <c r="A38">
        <v>502650</v>
      </c>
      <c r="B38">
        <v>2</v>
      </c>
      <c r="D38" s="1" t="str">
        <f>+"Repas hp "&amp;D1</f>
        <v>Repas hp Mars 2026</v>
      </c>
      <c r="E38" s="15"/>
      <c r="F38" t="s">
        <v>39</v>
      </c>
      <c r="G38" s="2">
        <f>-H10*G23</f>
        <v>-2572.5119999999943</v>
      </c>
      <c r="H38" s="2"/>
    </row>
    <row r="39" spans="1:8" x14ac:dyDescent="0.2">
      <c r="A39">
        <v>432050</v>
      </c>
      <c r="B39">
        <v>2</v>
      </c>
      <c r="D39" s="1" t="str">
        <f>+"Repas hp "&amp;D1</f>
        <v>Repas hp Mars 2026</v>
      </c>
      <c r="E39" s="15"/>
      <c r="F39" t="s">
        <v>39</v>
      </c>
      <c r="G39" s="2">
        <f>-C11*C23</f>
        <v>-195.16400000000002</v>
      </c>
      <c r="H39" s="2"/>
    </row>
    <row r="40" spans="1:8" x14ac:dyDescent="0.2">
      <c r="A40">
        <v>432051</v>
      </c>
      <c r="B40">
        <v>2</v>
      </c>
      <c r="D40" s="1" t="str">
        <f>+"Repas hp "&amp;D1</f>
        <v>Repas hp Mars 2026</v>
      </c>
      <c r="E40" s="15"/>
      <c r="F40" t="s">
        <v>39</v>
      </c>
      <c r="G40" s="2">
        <f>-D11*D23</f>
        <v>-16.912500000000001</v>
      </c>
      <c r="H40" s="2"/>
    </row>
    <row r="41" spans="1:8" x14ac:dyDescent="0.2">
      <c r="A41">
        <v>432052</v>
      </c>
      <c r="B41">
        <v>2</v>
      </c>
      <c r="D41" s="1" t="str">
        <f>+"Repas hp "&amp;D1</f>
        <v>Repas hp Mars 2026</v>
      </c>
      <c r="E41" s="15"/>
      <c r="F41" t="s">
        <v>39</v>
      </c>
      <c r="G41" s="2">
        <f>-E11*E23</f>
        <v>-631.34999999999991</v>
      </c>
      <c r="H41" s="2"/>
    </row>
    <row r="42" spans="1:8" x14ac:dyDescent="0.2">
      <c r="A42">
        <v>432053</v>
      </c>
      <c r="B42">
        <v>2</v>
      </c>
      <c r="D42" s="1" t="str">
        <f>+"Repas hp "&amp;D1</f>
        <v>Repas hp Mars 2026</v>
      </c>
      <c r="E42" s="15"/>
      <c r="F42" t="s">
        <v>39</v>
      </c>
      <c r="G42" s="2">
        <f>-F11*F23</f>
        <v>-108.89775</v>
      </c>
      <c r="H42" s="2"/>
    </row>
    <row r="43" spans="1:8" x14ac:dyDescent="0.2">
      <c r="F43" s="2"/>
      <c r="G43" s="2">
        <f>SUM(G34:G42)</f>
        <v>27.750000000001563</v>
      </c>
      <c r="H43" s="2"/>
    </row>
    <row r="45" spans="1:8" x14ac:dyDescent="0.2">
      <c r="G45" s="17"/>
    </row>
  </sheetData>
  <mergeCells count="3">
    <mergeCell ref="A3:I3"/>
    <mergeCell ref="A14:I14"/>
    <mergeCell ref="A22:I22"/>
  </mergeCells>
  <phoneticPr fontId="6" type="noConversion"/>
  <pageMargins left="0.55118110236220474" right="0.55118110236220474" top="0.98425196850393704" bottom="0.98425196850393704" header="0.51181102362204722" footer="0.51181102362204722"/>
  <pageSetup scale="86" orientation="portrait" horizontalDpi="4294967292" r:id="rId1"/>
  <headerFooter alignWithMargins="0">
    <oddHeader>&amp;C&amp;"Arial,Gras"RAPPORT HP&amp;R&amp;"Arial,Gras"SHERATON LAVAL</oddHeader>
    <oddFooter>&amp;L&amp;D
&amp;6&amp;Z&amp;F&amp;C&amp;"Arial,Gras"EJ 52 HOTEL PROMOTION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 filterMode="1">
    <pageSetUpPr fitToPage="1"/>
  </sheetPr>
  <dimension ref="A1:P754"/>
  <sheetViews>
    <sheetView showWhiteSpace="0" zoomScale="130" zoomScaleNormal="130" zoomScaleSheetLayoutView="100" workbookViewId="0">
      <pane ySplit="12" topLeftCell="A430" activePane="bottomLeft" state="frozen"/>
      <selection pane="bottomLeft" activeCell="O454" sqref="O454"/>
    </sheetView>
  </sheetViews>
  <sheetFormatPr baseColWidth="10" defaultColWidth="11.42578125" defaultRowHeight="11.25" outlineLevelRow="1" x14ac:dyDescent="0.2"/>
  <cols>
    <col min="1" max="1" width="6.7109375" style="20" customWidth="1"/>
    <col min="2" max="2" width="9.5703125" style="20" bestFit="1" customWidth="1"/>
    <col min="3" max="3" width="8.42578125" style="21" customWidth="1"/>
    <col min="4" max="4" width="6.7109375" style="21" customWidth="1"/>
    <col min="5" max="5" width="8.140625" style="21" bestFit="1" customWidth="1"/>
    <col min="6" max="6" width="7.42578125" style="21" bestFit="1" customWidth="1"/>
    <col min="7" max="7" width="6.42578125" style="21" customWidth="1"/>
    <col min="8" max="8" width="10.140625" style="21" customWidth="1"/>
    <col min="9" max="9" width="7.28515625" style="21" customWidth="1"/>
    <col min="10" max="10" width="8.5703125" style="21" customWidth="1"/>
    <col min="11" max="11" width="14" style="20" bestFit="1" customWidth="1"/>
    <col min="12" max="12" width="9" style="33" bestFit="1" customWidth="1"/>
    <col min="13" max="13" width="11.5703125" style="19" customWidth="1"/>
    <col min="14" max="14" width="37" style="19" customWidth="1"/>
    <col min="15" max="15" width="14.42578125" style="19" customWidth="1"/>
    <col min="16" max="16" width="13.28515625" style="19" customWidth="1"/>
    <col min="17" max="16384" width="11.42578125" style="19"/>
  </cols>
  <sheetData>
    <row r="1" spans="1:16" s="9" customFormat="1" hidden="1" outlineLevel="1" x14ac:dyDescent="0.2">
      <c r="C1" s="9" t="s">
        <v>105</v>
      </c>
      <c r="K1" s="11"/>
      <c r="L1" s="35"/>
    </row>
    <row r="2" spans="1:16" s="9" customFormat="1" hidden="1" outlineLevel="1" x14ac:dyDescent="0.2">
      <c r="A2" s="11" t="b">
        <f>B13="Link"</f>
        <v>0</v>
      </c>
      <c r="B2" s="11" t="b">
        <f>B13="Cupola"</f>
        <v>0</v>
      </c>
      <c r="C2" s="11" t="b">
        <f>B13="Piazza"</f>
        <v>0</v>
      </c>
      <c r="D2" s="11" t="b">
        <f>B13="Banquet"</f>
        <v>0</v>
      </c>
      <c r="E2" s="11" t="b">
        <f>B13="Serv Ch."</f>
        <v>0</v>
      </c>
      <c r="F2" s="11" t="b">
        <f>B13="Tabagie"</f>
        <v>1</v>
      </c>
      <c r="G2" s="11" t="b">
        <f>K13="14 - Administration"</f>
        <v>0</v>
      </c>
      <c r="H2" s="11" t="b">
        <v>0</v>
      </c>
      <c r="I2" s="11" t="b">
        <f>K13="15 - Promotion"</f>
        <v>1</v>
      </c>
      <c r="J2" s="11" t="b">
        <f>K13="17 - Promesse serv."</f>
        <v>0</v>
      </c>
      <c r="K2" s="11"/>
      <c r="L2" s="35"/>
    </row>
    <row r="3" spans="1:16" s="9" customFormat="1" hidden="1" outlineLevel="1" x14ac:dyDescent="0.2">
      <c r="A3" s="11" t="s">
        <v>78</v>
      </c>
      <c r="B3" s="11" t="s">
        <v>19</v>
      </c>
      <c r="C3" s="11" t="s">
        <v>20</v>
      </c>
      <c r="D3" s="11" t="s">
        <v>21</v>
      </c>
      <c r="E3" s="11" t="s">
        <v>22</v>
      </c>
      <c r="F3" s="11" t="s">
        <v>23</v>
      </c>
      <c r="K3" s="11"/>
      <c r="L3" s="35"/>
    </row>
    <row r="4" spans="1:16" hidden="1" outlineLevel="1" x14ac:dyDescent="0.2"/>
    <row r="5" spans="1:16" hidden="1" outlineLevel="1" x14ac:dyDescent="0.2"/>
    <row r="6" spans="1:16" hidden="1" outlineLevel="1" x14ac:dyDescent="0.2"/>
    <row r="7" spans="1:16" hidden="1" outlineLevel="1" x14ac:dyDescent="0.2"/>
    <row r="8" spans="1:16" hidden="1" outlineLevel="1" x14ac:dyDescent="0.2"/>
    <row r="9" spans="1:16" hidden="1" outlineLevel="1" x14ac:dyDescent="0.2"/>
    <row r="10" spans="1:16" ht="9" hidden="1" customHeight="1" outlineLevel="1" x14ac:dyDescent="0.2"/>
    <row r="11" spans="1:16" hidden="1" outlineLevel="1" x14ac:dyDescent="0.2"/>
    <row r="12" spans="1:16" s="26" customFormat="1" collapsed="1" x14ac:dyDescent="0.2">
      <c r="A12" s="47" t="s">
        <v>114</v>
      </c>
      <c r="B12" s="22" t="s">
        <v>10</v>
      </c>
      <c r="C12" s="23" t="s">
        <v>3</v>
      </c>
      <c r="D12" s="23" t="s">
        <v>4</v>
      </c>
      <c r="E12" s="23" t="s">
        <v>5</v>
      </c>
      <c r="F12" s="23" t="s">
        <v>6</v>
      </c>
      <c r="G12" s="23" t="s">
        <v>66</v>
      </c>
      <c r="H12" s="32" t="s">
        <v>23</v>
      </c>
      <c r="I12" s="23" t="s">
        <v>7</v>
      </c>
      <c r="J12" s="23" t="s">
        <v>8</v>
      </c>
      <c r="K12" s="24" t="s">
        <v>9</v>
      </c>
      <c r="L12" s="34" t="s">
        <v>1</v>
      </c>
      <c r="M12" s="23" t="s">
        <v>0</v>
      </c>
      <c r="N12" s="23" t="s">
        <v>33</v>
      </c>
      <c r="O12" s="25" t="s">
        <v>57</v>
      </c>
    </row>
    <row r="13" spans="1:16" hidden="1" x14ac:dyDescent="0.2">
      <c r="A13" s="19">
        <v>1</v>
      </c>
      <c r="B13" s="12" t="s">
        <v>23</v>
      </c>
      <c r="C13" s="19"/>
      <c r="D13" s="9"/>
      <c r="E13" s="19"/>
      <c r="F13" s="19"/>
      <c r="G13" s="19"/>
      <c r="H13" s="19">
        <v>6.95</v>
      </c>
      <c r="I13" s="19"/>
      <c r="J13" s="19"/>
      <c r="K13" s="12" t="s">
        <v>17</v>
      </c>
      <c r="L13" s="35">
        <f>SUBTOTAL(9,C13:J13)</f>
        <v>0</v>
      </c>
      <c r="M13" s="10" t="s">
        <v>60</v>
      </c>
      <c r="N13" s="9" t="s">
        <v>115</v>
      </c>
      <c r="O13" s="10"/>
      <c r="P13" s="9"/>
    </row>
    <row r="14" spans="1:16" hidden="1" x14ac:dyDescent="0.2">
      <c r="A14" s="19">
        <v>1</v>
      </c>
      <c r="B14" s="12" t="s">
        <v>23</v>
      </c>
      <c r="C14" s="19"/>
      <c r="D14" s="9"/>
      <c r="E14" s="19"/>
      <c r="F14" s="19"/>
      <c r="G14" s="19"/>
      <c r="H14" s="19">
        <v>6.95</v>
      </c>
      <c r="I14" s="19"/>
      <c r="J14" s="19"/>
      <c r="K14" s="12" t="s">
        <v>17</v>
      </c>
      <c r="L14" s="35">
        <f t="shared" ref="L14:L28" si="0">SUBTOTAL(9,C14:J14)</f>
        <v>0</v>
      </c>
      <c r="M14" s="10" t="s">
        <v>60</v>
      </c>
      <c r="N14" s="9" t="s">
        <v>116</v>
      </c>
      <c r="O14" s="10"/>
      <c r="P14" s="9"/>
    </row>
    <row r="15" spans="1:16" hidden="1" x14ac:dyDescent="0.2">
      <c r="A15" s="19">
        <v>1</v>
      </c>
      <c r="B15" s="12" t="s">
        <v>23</v>
      </c>
      <c r="C15" s="19"/>
      <c r="D15" s="9"/>
      <c r="E15" s="19"/>
      <c r="F15" s="19"/>
      <c r="G15" s="19"/>
      <c r="H15" s="19">
        <v>6.95</v>
      </c>
      <c r="I15" s="19"/>
      <c r="J15" s="19"/>
      <c r="K15" s="12" t="s">
        <v>17</v>
      </c>
      <c r="L15" s="35">
        <f t="shared" si="0"/>
        <v>0</v>
      </c>
      <c r="M15" s="10" t="s">
        <v>60</v>
      </c>
      <c r="N15" s="9" t="s">
        <v>117</v>
      </c>
      <c r="O15" s="10"/>
      <c r="P15" s="9"/>
    </row>
    <row r="16" spans="1:16" hidden="1" x14ac:dyDescent="0.2">
      <c r="A16" s="19">
        <v>1</v>
      </c>
      <c r="B16" s="12" t="s">
        <v>23</v>
      </c>
      <c r="C16" s="19"/>
      <c r="D16" s="9"/>
      <c r="E16" s="19"/>
      <c r="F16" s="19"/>
      <c r="G16" s="19"/>
      <c r="H16" s="19">
        <v>6.95</v>
      </c>
      <c r="I16" s="19"/>
      <c r="J16" s="19"/>
      <c r="K16" s="12" t="s">
        <v>17</v>
      </c>
      <c r="L16" s="35">
        <f t="shared" si="0"/>
        <v>0</v>
      </c>
      <c r="M16" s="10" t="s">
        <v>60</v>
      </c>
      <c r="N16" s="9" t="s">
        <v>118</v>
      </c>
      <c r="O16" s="10"/>
      <c r="P16" s="9"/>
    </row>
    <row r="17" spans="1:16" hidden="1" x14ac:dyDescent="0.2">
      <c r="A17" s="19">
        <v>1</v>
      </c>
      <c r="B17" s="12" t="s">
        <v>23</v>
      </c>
      <c r="C17" s="19"/>
      <c r="D17" s="9"/>
      <c r="E17" s="19"/>
      <c r="F17" s="19"/>
      <c r="G17" s="19"/>
      <c r="H17" s="19">
        <v>6.95</v>
      </c>
      <c r="I17" s="19"/>
      <c r="J17" s="19"/>
      <c r="K17" s="12" t="s">
        <v>17</v>
      </c>
      <c r="L17" s="35">
        <f t="shared" si="0"/>
        <v>0</v>
      </c>
      <c r="M17" s="10" t="s">
        <v>60</v>
      </c>
      <c r="N17" s="9" t="s">
        <v>119</v>
      </c>
      <c r="O17" s="10"/>
      <c r="P17" s="9"/>
    </row>
    <row r="18" spans="1:16" hidden="1" x14ac:dyDescent="0.2">
      <c r="A18" s="19">
        <v>1</v>
      </c>
      <c r="B18" s="12" t="s">
        <v>23</v>
      </c>
      <c r="C18" s="19"/>
      <c r="D18" s="9"/>
      <c r="E18" s="19"/>
      <c r="F18" s="19"/>
      <c r="G18" s="19"/>
      <c r="H18" s="19">
        <v>6.95</v>
      </c>
      <c r="I18" s="19"/>
      <c r="J18" s="19"/>
      <c r="K18" s="12" t="s">
        <v>17</v>
      </c>
      <c r="L18" s="35">
        <f t="shared" si="0"/>
        <v>0</v>
      </c>
      <c r="M18" s="10" t="s">
        <v>60</v>
      </c>
      <c r="N18" s="9" t="s">
        <v>120</v>
      </c>
      <c r="O18" s="10"/>
      <c r="P18" s="9"/>
    </row>
    <row r="19" spans="1:16" hidden="1" x14ac:dyDescent="0.2">
      <c r="A19" s="19">
        <v>1</v>
      </c>
      <c r="B19" s="12" t="s">
        <v>23</v>
      </c>
      <c r="C19" s="19"/>
      <c r="D19" s="9"/>
      <c r="E19" s="19"/>
      <c r="F19" s="19"/>
      <c r="G19" s="19"/>
      <c r="H19" s="19">
        <v>6.95</v>
      </c>
      <c r="I19" s="19"/>
      <c r="J19" s="19"/>
      <c r="K19" s="12" t="s">
        <v>17</v>
      </c>
      <c r="L19" s="35">
        <f t="shared" si="0"/>
        <v>0</v>
      </c>
      <c r="M19" s="10" t="s">
        <v>60</v>
      </c>
      <c r="N19" s="9" t="s">
        <v>121</v>
      </c>
      <c r="O19" s="10"/>
      <c r="P19" s="9"/>
    </row>
    <row r="20" spans="1:16" hidden="1" x14ac:dyDescent="0.2">
      <c r="A20" s="19">
        <v>1</v>
      </c>
      <c r="B20" s="12" t="s">
        <v>23</v>
      </c>
      <c r="C20" s="19"/>
      <c r="D20" s="9"/>
      <c r="E20" s="19"/>
      <c r="F20" s="19"/>
      <c r="G20" s="19"/>
      <c r="H20" s="19">
        <v>6.95</v>
      </c>
      <c r="I20" s="19"/>
      <c r="J20" s="19"/>
      <c r="K20" s="12" t="s">
        <v>17</v>
      </c>
      <c r="L20" s="35">
        <f t="shared" si="0"/>
        <v>0</v>
      </c>
      <c r="M20" s="10" t="s">
        <v>60</v>
      </c>
      <c r="N20" s="9" t="s">
        <v>122</v>
      </c>
      <c r="O20" s="10"/>
      <c r="P20" s="9"/>
    </row>
    <row r="21" spans="1:16" hidden="1" x14ac:dyDescent="0.2">
      <c r="A21" s="19">
        <v>1</v>
      </c>
      <c r="B21" s="12" t="s">
        <v>23</v>
      </c>
      <c r="C21" s="19"/>
      <c r="D21" s="9"/>
      <c r="E21" s="19"/>
      <c r="F21" s="19"/>
      <c r="G21" s="19"/>
      <c r="H21" s="19">
        <v>6.95</v>
      </c>
      <c r="I21" s="19"/>
      <c r="J21" s="19"/>
      <c r="K21" s="12" t="s">
        <v>17</v>
      </c>
      <c r="L21" s="35">
        <f t="shared" si="0"/>
        <v>0</v>
      </c>
      <c r="M21" s="10" t="s">
        <v>60</v>
      </c>
      <c r="N21" s="9" t="s">
        <v>123</v>
      </c>
      <c r="O21" s="10"/>
      <c r="P21" s="9"/>
    </row>
    <row r="22" spans="1:16" hidden="1" x14ac:dyDescent="0.2">
      <c r="A22" s="19">
        <v>1</v>
      </c>
      <c r="B22" s="12" t="s">
        <v>23</v>
      </c>
      <c r="C22" s="19"/>
      <c r="D22" s="9"/>
      <c r="E22" s="19"/>
      <c r="F22" s="19"/>
      <c r="G22" s="19"/>
      <c r="H22" s="19">
        <v>6.95</v>
      </c>
      <c r="I22" s="19"/>
      <c r="J22" s="19"/>
      <c r="K22" s="12" t="s">
        <v>17</v>
      </c>
      <c r="L22" s="35">
        <f t="shared" si="0"/>
        <v>0</v>
      </c>
      <c r="M22" s="10" t="s">
        <v>60</v>
      </c>
      <c r="N22" s="9" t="s">
        <v>131</v>
      </c>
      <c r="O22" s="10"/>
      <c r="P22" s="9"/>
    </row>
    <row r="23" spans="1:16" hidden="1" x14ac:dyDescent="0.2">
      <c r="A23" s="19">
        <v>1</v>
      </c>
      <c r="B23" s="12" t="s">
        <v>23</v>
      </c>
      <c r="C23" s="19"/>
      <c r="D23" s="9"/>
      <c r="E23" s="19"/>
      <c r="F23" s="19"/>
      <c r="G23" s="19"/>
      <c r="H23" s="19">
        <v>6.95</v>
      </c>
      <c r="I23" s="19"/>
      <c r="J23" s="19"/>
      <c r="K23" s="12" t="s">
        <v>17</v>
      </c>
      <c r="L23" s="35">
        <f t="shared" ref="L23:L24" si="1">SUBTOTAL(9,C23:J23)</f>
        <v>0</v>
      </c>
      <c r="M23" s="10" t="s">
        <v>60</v>
      </c>
      <c r="N23" s="9" t="s">
        <v>130</v>
      </c>
      <c r="O23" s="10"/>
      <c r="P23" s="9"/>
    </row>
    <row r="24" spans="1:16" hidden="1" x14ac:dyDescent="0.2">
      <c r="A24" s="19">
        <v>1</v>
      </c>
      <c r="B24" s="12" t="s">
        <v>23</v>
      </c>
      <c r="C24" s="19"/>
      <c r="D24" s="9"/>
      <c r="E24" s="19"/>
      <c r="F24" s="19"/>
      <c r="G24" s="19"/>
      <c r="H24" s="19">
        <v>6.95</v>
      </c>
      <c r="I24" s="19"/>
      <c r="J24" s="19"/>
      <c r="K24" s="12" t="s">
        <v>17</v>
      </c>
      <c r="L24" s="35">
        <f t="shared" si="1"/>
        <v>0</v>
      </c>
      <c r="M24" s="10" t="s">
        <v>60</v>
      </c>
      <c r="N24" s="9" t="s">
        <v>124</v>
      </c>
      <c r="O24" s="10"/>
      <c r="P24" s="9"/>
    </row>
    <row r="25" spans="1:16" hidden="1" x14ac:dyDescent="0.2">
      <c r="A25" s="19">
        <v>1</v>
      </c>
      <c r="B25" s="12" t="s">
        <v>23</v>
      </c>
      <c r="C25" s="19"/>
      <c r="D25" s="9"/>
      <c r="E25" s="19"/>
      <c r="F25" s="19"/>
      <c r="G25" s="19"/>
      <c r="H25" s="19">
        <v>6.95</v>
      </c>
      <c r="I25" s="19"/>
      <c r="J25" s="19"/>
      <c r="K25" s="12" t="s">
        <v>17</v>
      </c>
      <c r="L25" s="35">
        <f t="shared" si="0"/>
        <v>0</v>
      </c>
      <c r="M25" s="10" t="s">
        <v>60</v>
      </c>
      <c r="N25" s="9" t="s">
        <v>125</v>
      </c>
      <c r="O25" s="10"/>
      <c r="P25" s="9"/>
    </row>
    <row r="26" spans="1:16" hidden="1" x14ac:dyDescent="0.2">
      <c r="A26" s="19">
        <v>1</v>
      </c>
      <c r="B26" s="12" t="s">
        <v>23</v>
      </c>
      <c r="C26" s="19"/>
      <c r="D26" s="9"/>
      <c r="E26" s="19"/>
      <c r="F26" s="19"/>
      <c r="G26" s="19"/>
      <c r="H26" s="19">
        <v>6.95</v>
      </c>
      <c r="I26" s="19"/>
      <c r="J26" s="19"/>
      <c r="K26" s="12" t="s">
        <v>17</v>
      </c>
      <c r="L26" s="35">
        <f t="shared" si="0"/>
        <v>0</v>
      </c>
      <c r="M26" s="10" t="s">
        <v>60</v>
      </c>
      <c r="N26" s="9" t="s">
        <v>131</v>
      </c>
      <c r="O26" s="10"/>
      <c r="P26" s="9"/>
    </row>
    <row r="27" spans="1:16" hidden="1" x14ac:dyDescent="0.2">
      <c r="A27" s="19">
        <v>1</v>
      </c>
      <c r="B27" s="12" t="s">
        <v>23</v>
      </c>
      <c r="C27" s="19"/>
      <c r="D27" s="9"/>
      <c r="E27" s="19"/>
      <c r="F27" s="19"/>
      <c r="G27" s="19"/>
      <c r="H27" s="19">
        <v>6.95</v>
      </c>
      <c r="I27" s="19"/>
      <c r="J27" s="19">
        <v>10</v>
      </c>
      <c r="K27" s="12" t="s">
        <v>17</v>
      </c>
      <c r="L27" s="35">
        <f t="shared" ref="L27" si="2">SUBTOTAL(9,C27:J27)</f>
        <v>0</v>
      </c>
      <c r="M27" s="10" t="s">
        <v>60</v>
      </c>
      <c r="N27" s="9" t="s">
        <v>126</v>
      </c>
      <c r="O27" s="10"/>
      <c r="P27" s="9"/>
    </row>
    <row r="28" spans="1:16" hidden="1" x14ac:dyDescent="0.2">
      <c r="A28" s="19">
        <v>1</v>
      </c>
      <c r="B28" s="12" t="s">
        <v>23</v>
      </c>
      <c r="C28" s="19"/>
      <c r="D28" s="9"/>
      <c r="E28" s="19"/>
      <c r="F28" s="19"/>
      <c r="G28" s="19"/>
      <c r="H28" s="19">
        <v>19.989999999999998</v>
      </c>
      <c r="I28" s="19"/>
      <c r="J28" s="19"/>
      <c r="K28" s="12" t="s">
        <v>17</v>
      </c>
      <c r="L28" s="35">
        <f t="shared" si="0"/>
        <v>0</v>
      </c>
      <c r="M28" s="10" t="s">
        <v>60</v>
      </c>
      <c r="N28" s="9" t="s">
        <v>127</v>
      </c>
      <c r="O28" s="10"/>
      <c r="P28" s="9"/>
    </row>
    <row r="29" spans="1:16" hidden="1" x14ac:dyDescent="0.2">
      <c r="A29" s="19">
        <v>1</v>
      </c>
      <c r="B29" s="12" t="s">
        <v>20</v>
      </c>
      <c r="C29" s="19">
        <v>540</v>
      </c>
      <c r="D29" s="9"/>
      <c r="E29" s="19"/>
      <c r="F29" s="19">
        <f>42+84</f>
        <v>126</v>
      </c>
      <c r="G29" s="19"/>
      <c r="H29" s="19"/>
      <c r="I29" s="19"/>
      <c r="J29" s="19">
        <v>99.9</v>
      </c>
      <c r="K29" s="12" t="s">
        <v>17</v>
      </c>
      <c r="L29" s="35">
        <f t="shared" ref="L29:L30" si="3">SUBTOTAL(9,C29:J29)</f>
        <v>0</v>
      </c>
      <c r="M29" s="10" t="s">
        <v>60</v>
      </c>
      <c r="N29" s="9" t="s">
        <v>128</v>
      </c>
      <c r="O29" s="10"/>
      <c r="P29" s="9"/>
    </row>
    <row r="30" spans="1:16" hidden="1" x14ac:dyDescent="0.2">
      <c r="A30" s="19">
        <v>1</v>
      </c>
      <c r="B30" s="12" t="s">
        <v>20</v>
      </c>
      <c r="C30" s="19">
        <f>359-SUM(D30:I30)</f>
        <v>303</v>
      </c>
      <c r="D30" s="9">
        <v>15</v>
      </c>
      <c r="E30" s="19">
        <v>13</v>
      </c>
      <c r="F30" s="19"/>
      <c r="G30" s="19"/>
      <c r="H30" s="19">
        <v>28</v>
      </c>
      <c r="I30" s="19"/>
      <c r="J30" s="19">
        <v>53.85</v>
      </c>
      <c r="K30" s="12" t="s">
        <v>17</v>
      </c>
      <c r="L30" s="35">
        <f t="shared" si="3"/>
        <v>0</v>
      </c>
      <c r="M30" s="10" t="s">
        <v>60</v>
      </c>
      <c r="N30" s="9" t="s">
        <v>129</v>
      </c>
      <c r="O30" s="10"/>
      <c r="P30" s="9"/>
    </row>
    <row r="31" spans="1:16" hidden="1" x14ac:dyDescent="0.2">
      <c r="A31" s="19">
        <v>1</v>
      </c>
      <c r="B31" s="12" t="s">
        <v>20</v>
      </c>
      <c r="C31" s="19">
        <v>90</v>
      </c>
      <c r="D31" s="9"/>
      <c r="E31" s="19"/>
      <c r="F31" s="19"/>
      <c r="G31" s="19">
        <v>14</v>
      </c>
      <c r="H31" s="19"/>
      <c r="I31" s="19"/>
      <c r="J31" s="19">
        <v>12.48</v>
      </c>
      <c r="K31" s="12" t="s">
        <v>16</v>
      </c>
      <c r="L31" s="35">
        <f t="shared" ref="L31:L34" si="4">SUBTOTAL(9,C31:J31)</f>
        <v>0</v>
      </c>
      <c r="M31" s="10" t="s">
        <v>58</v>
      </c>
      <c r="N31" s="9" t="s">
        <v>132</v>
      </c>
      <c r="O31" s="10"/>
      <c r="P31" s="46"/>
    </row>
    <row r="32" spans="1:16" hidden="1" x14ac:dyDescent="0.2">
      <c r="A32" s="19">
        <v>1</v>
      </c>
      <c r="B32" s="12" t="s">
        <v>23</v>
      </c>
      <c r="C32" s="19">
        <v>19.95</v>
      </c>
      <c r="D32" s="9"/>
      <c r="E32" s="19"/>
      <c r="F32" s="19"/>
      <c r="G32" s="19"/>
      <c r="H32" s="19">
        <v>4.25</v>
      </c>
      <c r="I32" s="19"/>
      <c r="J32" s="19">
        <v>3.63</v>
      </c>
      <c r="K32" s="12" t="s">
        <v>16</v>
      </c>
      <c r="L32" s="35">
        <f t="shared" si="4"/>
        <v>0</v>
      </c>
      <c r="M32" s="10"/>
      <c r="N32" s="9" t="s">
        <v>133</v>
      </c>
      <c r="O32" s="10"/>
      <c r="P32" s="9"/>
    </row>
    <row r="33" spans="1:16" hidden="1" x14ac:dyDescent="0.2">
      <c r="A33" s="19">
        <v>1</v>
      </c>
      <c r="B33" s="12" t="s">
        <v>20</v>
      </c>
      <c r="C33" s="19">
        <v>20.95</v>
      </c>
      <c r="D33" s="9"/>
      <c r="E33" s="19"/>
      <c r="F33" s="19"/>
      <c r="G33" s="19"/>
      <c r="H33" s="19"/>
      <c r="I33" s="19"/>
      <c r="J33" s="19">
        <v>3.14</v>
      </c>
      <c r="K33" s="12" t="s">
        <v>16</v>
      </c>
      <c r="L33" s="35">
        <f t="shared" si="4"/>
        <v>0</v>
      </c>
      <c r="M33" s="10"/>
      <c r="N33" s="9" t="s">
        <v>109</v>
      </c>
      <c r="O33" s="10"/>
      <c r="P33" s="9"/>
    </row>
    <row r="34" spans="1:16" hidden="1" x14ac:dyDescent="0.2">
      <c r="A34" s="19">
        <v>1</v>
      </c>
      <c r="B34" s="12" t="s">
        <v>20</v>
      </c>
      <c r="C34" s="19">
        <v>41.9</v>
      </c>
      <c r="D34" s="9"/>
      <c r="E34" s="19"/>
      <c r="F34" s="19"/>
      <c r="G34" s="19"/>
      <c r="H34" s="19">
        <v>4.25</v>
      </c>
      <c r="I34" s="19"/>
      <c r="J34" s="19">
        <v>6.92</v>
      </c>
      <c r="K34" s="12" t="s">
        <v>16</v>
      </c>
      <c r="L34" s="35">
        <f t="shared" si="4"/>
        <v>0</v>
      </c>
      <c r="M34" s="10"/>
      <c r="N34" s="9" t="s">
        <v>110</v>
      </c>
      <c r="O34" s="10"/>
      <c r="P34" s="9"/>
    </row>
    <row r="35" spans="1:16" hidden="1" x14ac:dyDescent="0.2">
      <c r="A35" s="19">
        <v>1</v>
      </c>
      <c r="B35" s="12" t="s">
        <v>20</v>
      </c>
      <c r="C35" s="19">
        <v>17.95</v>
      </c>
      <c r="D35" s="9"/>
      <c r="E35" s="19"/>
      <c r="F35" s="19"/>
      <c r="G35" s="19"/>
      <c r="H35" s="19"/>
      <c r="I35" s="19"/>
      <c r="J35" s="19">
        <v>2.64</v>
      </c>
      <c r="K35" s="12" t="s">
        <v>16</v>
      </c>
      <c r="L35" s="35">
        <f t="shared" ref="L35:L37" si="5">SUBTOTAL(9,C35:J35)</f>
        <v>0</v>
      </c>
      <c r="M35" s="10"/>
      <c r="N35" s="9" t="s">
        <v>113</v>
      </c>
      <c r="O35" s="10"/>
      <c r="P35" s="9"/>
    </row>
    <row r="36" spans="1:16" hidden="1" x14ac:dyDescent="0.2">
      <c r="A36" s="19">
        <v>1</v>
      </c>
      <c r="B36" s="12" t="s">
        <v>20</v>
      </c>
      <c r="C36" s="19">
        <v>14.25</v>
      </c>
      <c r="D36" s="9"/>
      <c r="E36" s="19"/>
      <c r="F36" s="19"/>
      <c r="G36" s="19"/>
      <c r="H36" s="19"/>
      <c r="I36" s="19"/>
      <c r="J36" s="19">
        <v>1.7</v>
      </c>
      <c r="K36" s="12" t="s">
        <v>16</v>
      </c>
      <c r="L36" s="35">
        <f t="shared" si="5"/>
        <v>0</v>
      </c>
      <c r="M36" s="10"/>
      <c r="N36" s="9" t="s">
        <v>112</v>
      </c>
      <c r="O36" s="10"/>
      <c r="P36" s="9"/>
    </row>
    <row r="37" spans="1:16" hidden="1" x14ac:dyDescent="0.2">
      <c r="A37" s="19">
        <v>1</v>
      </c>
      <c r="B37" s="12" t="s">
        <v>20</v>
      </c>
      <c r="C37" s="19">
        <v>19</v>
      </c>
      <c r="D37" s="9"/>
      <c r="E37" s="19"/>
      <c r="F37" s="19"/>
      <c r="G37" s="19"/>
      <c r="H37" s="19"/>
      <c r="I37" s="19"/>
      <c r="J37" s="19">
        <v>2.2999999999999998</v>
      </c>
      <c r="K37" s="12" t="s">
        <v>16</v>
      </c>
      <c r="L37" s="35">
        <f t="shared" si="5"/>
        <v>0</v>
      </c>
      <c r="M37" s="10"/>
      <c r="N37" s="9" t="s">
        <v>112</v>
      </c>
      <c r="O37" s="10"/>
      <c r="P37" s="9"/>
    </row>
    <row r="38" spans="1:16" hidden="1" x14ac:dyDescent="0.2">
      <c r="A38" s="19">
        <v>1</v>
      </c>
      <c r="B38" s="12" t="s">
        <v>20</v>
      </c>
      <c r="C38" s="19">
        <v>6</v>
      </c>
      <c r="D38" s="9"/>
      <c r="E38" s="19"/>
      <c r="F38" s="19"/>
      <c r="G38" s="19"/>
      <c r="H38" s="19"/>
      <c r="I38" s="19"/>
      <c r="J38" s="19">
        <v>0.9</v>
      </c>
      <c r="K38" s="12" t="s">
        <v>16</v>
      </c>
      <c r="L38" s="35">
        <f t="shared" ref="L38" si="6">SUBTOTAL(9,C38:J38)</f>
        <v>0</v>
      </c>
      <c r="M38" s="10"/>
      <c r="N38" s="9" t="s">
        <v>112</v>
      </c>
      <c r="O38" s="10"/>
      <c r="P38" s="9"/>
    </row>
    <row r="39" spans="1:16" hidden="1" x14ac:dyDescent="0.2">
      <c r="A39" s="20">
        <v>2</v>
      </c>
      <c r="B39" s="12" t="s">
        <v>23</v>
      </c>
      <c r="C39" s="19"/>
      <c r="D39" s="9"/>
      <c r="E39" s="19"/>
      <c r="F39" s="19"/>
      <c r="G39" s="19"/>
      <c r="H39" s="19">
        <v>24</v>
      </c>
      <c r="I39" s="19"/>
      <c r="J39" s="19"/>
      <c r="K39" s="12" t="s">
        <v>17</v>
      </c>
      <c r="L39" s="35">
        <f t="shared" ref="L39" si="7">SUBTOTAL(9,C39:J39)</f>
        <v>0</v>
      </c>
      <c r="M39" s="10" t="s">
        <v>60</v>
      </c>
      <c r="N39" s="9" t="s">
        <v>134</v>
      </c>
      <c r="O39" s="10"/>
      <c r="P39" s="9"/>
    </row>
    <row r="40" spans="1:16" hidden="1" x14ac:dyDescent="0.2">
      <c r="A40" s="20">
        <v>2</v>
      </c>
      <c r="B40" s="12" t="s">
        <v>23</v>
      </c>
      <c r="C40" s="19"/>
      <c r="D40" s="9"/>
      <c r="E40" s="19"/>
      <c r="F40" s="19"/>
      <c r="G40" s="19"/>
      <c r="H40" s="19">
        <f>5.99+9.5</f>
        <v>15.49</v>
      </c>
      <c r="I40" s="19"/>
      <c r="J40" s="19"/>
      <c r="K40" s="12" t="s">
        <v>17</v>
      </c>
      <c r="L40" s="35">
        <f t="shared" ref="L40" si="8">SUBTOTAL(9,C40:J40)</f>
        <v>0</v>
      </c>
      <c r="M40" s="10" t="s">
        <v>60</v>
      </c>
      <c r="N40" s="9" t="s">
        <v>135</v>
      </c>
      <c r="O40" s="10"/>
      <c r="P40" s="9"/>
    </row>
    <row r="41" spans="1:16" hidden="1" x14ac:dyDescent="0.2">
      <c r="A41" s="20">
        <v>2</v>
      </c>
      <c r="B41" s="12" t="s">
        <v>23</v>
      </c>
      <c r="C41" s="19"/>
      <c r="D41" s="9"/>
      <c r="E41" s="19"/>
      <c r="F41" s="19"/>
      <c r="G41" s="19"/>
      <c r="H41" s="19">
        <v>42</v>
      </c>
      <c r="I41" s="19"/>
      <c r="J41" s="19"/>
      <c r="K41" s="12" t="s">
        <v>17</v>
      </c>
      <c r="L41" s="35">
        <f t="shared" ref="L41:L58" si="9">SUBTOTAL(9,C41:J41)</f>
        <v>0</v>
      </c>
      <c r="M41" s="10" t="s">
        <v>60</v>
      </c>
      <c r="N41" s="9" t="s">
        <v>136</v>
      </c>
      <c r="O41" s="10"/>
      <c r="P41" s="9"/>
    </row>
    <row r="42" spans="1:16" hidden="1" x14ac:dyDescent="0.2">
      <c r="A42" s="20">
        <v>2</v>
      </c>
      <c r="B42" s="12" t="s">
        <v>23</v>
      </c>
      <c r="C42" s="19"/>
      <c r="D42" s="9"/>
      <c r="E42" s="19"/>
      <c r="F42" s="19"/>
      <c r="G42" s="19"/>
      <c r="H42" s="19">
        <f>9.5+5.99</f>
        <v>15.49</v>
      </c>
      <c r="I42" s="19"/>
      <c r="J42" s="19"/>
      <c r="K42" s="12" t="s">
        <v>17</v>
      </c>
      <c r="L42" s="35">
        <f t="shared" si="9"/>
        <v>0</v>
      </c>
      <c r="M42" s="10" t="s">
        <v>60</v>
      </c>
      <c r="N42" s="9" t="s">
        <v>137</v>
      </c>
      <c r="O42" s="10"/>
      <c r="P42" s="9"/>
    </row>
    <row r="43" spans="1:16" hidden="1" x14ac:dyDescent="0.2">
      <c r="A43" s="20">
        <v>2</v>
      </c>
      <c r="B43" s="12" t="s">
        <v>23</v>
      </c>
      <c r="C43" s="19"/>
      <c r="D43" s="9"/>
      <c r="E43" s="19"/>
      <c r="F43" s="19"/>
      <c r="G43" s="19"/>
      <c r="H43" s="19">
        <f>4+2.95</f>
        <v>6.95</v>
      </c>
      <c r="I43" s="19"/>
      <c r="J43" s="19"/>
      <c r="K43" s="12" t="s">
        <v>17</v>
      </c>
      <c r="L43" s="35">
        <f t="shared" si="9"/>
        <v>0</v>
      </c>
      <c r="M43" s="10" t="s">
        <v>60</v>
      </c>
      <c r="N43" s="9" t="s">
        <v>138</v>
      </c>
      <c r="O43" s="10"/>
      <c r="P43" s="9"/>
    </row>
    <row r="44" spans="1:16" hidden="1" x14ac:dyDescent="0.2">
      <c r="A44" s="20">
        <v>2</v>
      </c>
      <c r="B44" s="12" t="s">
        <v>23</v>
      </c>
      <c r="C44" s="19"/>
      <c r="D44" s="9"/>
      <c r="E44" s="19"/>
      <c r="F44" s="19"/>
      <c r="G44" s="19"/>
      <c r="H44" s="19">
        <v>15.99</v>
      </c>
      <c r="I44" s="19"/>
      <c r="J44" s="19"/>
      <c r="K44" s="12" t="s">
        <v>17</v>
      </c>
      <c r="L44" s="35">
        <f t="shared" si="9"/>
        <v>0</v>
      </c>
      <c r="M44" s="10" t="s">
        <v>60</v>
      </c>
      <c r="N44" s="9" t="s">
        <v>139</v>
      </c>
      <c r="O44" s="10"/>
      <c r="P44" s="9"/>
    </row>
    <row r="45" spans="1:16" hidden="1" x14ac:dyDescent="0.2">
      <c r="A45" s="20">
        <v>2</v>
      </c>
      <c r="B45" s="12" t="s">
        <v>23</v>
      </c>
      <c r="C45" s="19"/>
      <c r="D45" s="9"/>
      <c r="E45" s="19"/>
      <c r="F45" s="19"/>
      <c r="G45" s="19"/>
      <c r="H45" s="19">
        <v>15.99</v>
      </c>
      <c r="I45" s="19"/>
      <c r="J45" s="19"/>
      <c r="K45" s="12" t="s">
        <v>17</v>
      </c>
      <c r="L45" s="35">
        <f t="shared" si="9"/>
        <v>0</v>
      </c>
      <c r="M45" s="10" t="s">
        <v>60</v>
      </c>
      <c r="N45" s="9" t="s">
        <v>140</v>
      </c>
      <c r="O45" s="10"/>
      <c r="P45" s="9"/>
    </row>
    <row r="46" spans="1:16" hidden="1" x14ac:dyDescent="0.2">
      <c r="A46" s="20">
        <v>2</v>
      </c>
      <c r="B46" s="12" t="s">
        <v>23</v>
      </c>
      <c r="C46" s="19"/>
      <c r="D46" s="9"/>
      <c r="E46" s="19"/>
      <c r="F46" s="19"/>
      <c r="G46" s="19"/>
      <c r="H46" s="19">
        <f>4+2.95</f>
        <v>6.95</v>
      </c>
      <c r="I46" s="19"/>
      <c r="J46" s="19"/>
      <c r="K46" s="12" t="s">
        <v>17</v>
      </c>
      <c r="L46" s="35">
        <f t="shared" si="9"/>
        <v>0</v>
      </c>
      <c r="M46" s="10" t="s">
        <v>60</v>
      </c>
      <c r="N46" s="9" t="s">
        <v>141</v>
      </c>
      <c r="O46" s="10"/>
      <c r="P46" s="9"/>
    </row>
    <row r="47" spans="1:16" hidden="1" x14ac:dyDescent="0.2">
      <c r="A47" s="20">
        <v>2</v>
      </c>
      <c r="B47" s="12" t="s">
        <v>23</v>
      </c>
      <c r="C47" s="19"/>
      <c r="D47" s="9"/>
      <c r="E47" s="19"/>
      <c r="F47" s="19"/>
      <c r="G47" s="19"/>
      <c r="H47" s="19">
        <f>2.95+4</f>
        <v>6.95</v>
      </c>
      <c r="I47" s="19"/>
      <c r="J47" s="19"/>
      <c r="K47" s="12" t="s">
        <v>17</v>
      </c>
      <c r="L47" s="35">
        <f t="shared" si="9"/>
        <v>0</v>
      </c>
      <c r="M47" s="10" t="s">
        <v>60</v>
      </c>
      <c r="N47" s="9" t="s">
        <v>142</v>
      </c>
      <c r="O47" s="10"/>
      <c r="P47" s="9"/>
    </row>
    <row r="48" spans="1:16" hidden="1" x14ac:dyDescent="0.2">
      <c r="A48" s="20">
        <v>2</v>
      </c>
      <c r="B48" s="12" t="s">
        <v>23</v>
      </c>
      <c r="C48" s="19"/>
      <c r="D48" s="9"/>
      <c r="E48" s="19"/>
      <c r="F48" s="19"/>
      <c r="G48" s="19"/>
      <c r="H48" s="9">
        <f>2.95+4</f>
        <v>6.95</v>
      </c>
      <c r="I48" s="19"/>
      <c r="J48" s="19"/>
      <c r="K48" s="12" t="s">
        <v>17</v>
      </c>
      <c r="L48" s="35">
        <f t="shared" si="9"/>
        <v>0</v>
      </c>
      <c r="M48" s="10" t="s">
        <v>60</v>
      </c>
      <c r="N48" s="9" t="s">
        <v>143</v>
      </c>
      <c r="O48" s="10"/>
      <c r="P48" s="9"/>
    </row>
    <row r="49" spans="1:16" hidden="1" x14ac:dyDescent="0.2">
      <c r="A49" s="20">
        <v>2</v>
      </c>
      <c r="B49" s="12" t="s">
        <v>20</v>
      </c>
      <c r="C49" s="19">
        <v>90</v>
      </c>
      <c r="D49" s="9"/>
      <c r="E49" s="19"/>
      <c r="F49" s="19"/>
      <c r="G49" s="19"/>
      <c r="H49" s="19"/>
      <c r="I49" s="19"/>
      <c r="J49" s="19">
        <v>13.5</v>
      </c>
      <c r="K49" s="12" t="s">
        <v>17</v>
      </c>
      <c r="L49" s="35">
        <f t="shared" si="9"/>
        <v>0</v>
      </c>
      <c r="M49" s="10" t="s">
        <v>60</v>
      </c>
      <c r="N49" s="9" t="s">
        <v>144</v>
      </c>
      <c r="O49" s="10"/>
      <c r="P49" s="9"/>
    </row>
    <row r="50" spans="1:16" hidden="1" x14ac:dyDescent="0.2">
      <c r="A50" s="20">
        <v>2</v>
      </c>
      <c r="B50" s="12" t="s">
        <v>20</v>
      </c>
      <c r="C50" s="19">
        <f>45+44+8+15</f>
        <v>112</v>
      </c>
      <c r="D50" s="9"/>
      <c r="E50" s="19"/>
      <c r="F50" s="19"/>
      <c r="G50" s="19">
        <f>7+14</f>
        <v>21</v>
      </c>
      <c r="H50" s="19"/>
      <c r="I50" s="19"/>
      <c r="J50" s="19">
        <v>15.96</v>
      </c>
      <c r="K50" s="12" t="s">
        <v>16</v>
      </c>
      <c r="L50" s="35">
        <f t="shared" si="9"/>
        <v>0</v>
      </c>
      <c r="M50" s="10" t="s">
        <v>58</v>
      </c>
      <c r="N50" s="9" t="s">
        <v>145</v>
      </c>
      <c r="O50" s="10"/>
      <c r="P50" s="9"/>
    </row>
    <row r="51" spans="1:16" hidden="1" x14ac:dyDescent="0.2">
      <c r="A51" s="20">
        <v>2</v>
      </c>
      <c r="B51" s="12" t="s">
        <v>20</v>
      </c>
      <c r="C51" s="19"/>
      <c r="D51" s="9">
        <f>38+25+13.5</f>
        <v>76.5</v>
      </c>
      <c r="E51" s="19">
        <v>9</v>
      </c>
      <c r="F51" s="19"/>
      <c r="G51" s="19"/>
      <c r="H51" s="19"/>
      <c r="I51" s="19"/>
      <c r="J51" s="19">
        <v>10.26</v>
      </c>
      <c r="K51" s="12" t="s">
        <v>16</v>
      </c>
      <c r="L51" s="35">
        <f t="shared" si="9"/>
        <v>0</v>
      </c>
      <c r="M51" s="10" t="s">
        <v>58</v>
      </c>
      <c r="N51" s="9" t="s">
        <v>146</v>
      </c>
      <c r="O51" s="10"/>
      <c r="P51" s="46"/>
    </row>
    <row r="52" spans="1:16" hidden="1" x14ac:dyDescent="0.2">
      <c r="A52" s="20">
        <v>2</v>
      </c>
      <c r="B52" s="12" t="s">
        <v>23</v>
      </c>
      <c r="C52" s="19"/>
      <c r="D52" s="9"/>
      <c r="E52" s="19"/>
      <c r="F52" s="19"/>
      <c r="G52" s="19"/>
      <c r="H52" s="19">
        <f>16.5+3</f>
        <v>19.5</v>
      </c>
      <c r="I52" s="19"/>
      <c r="J52" s="19">
        <v>2.93</v>
      </c>
      <c r="K52" s="12" t="s">
        <v>16</v>
      </c>
      <c r="L52" s="35">
        <f t="shared" si="9"/>
        <v>0</v>
      </c>
      <c r="M52" s="10" t="s">
        <v>58</v>
      </c>
      <c r="N52" s="9" t="s">
        <v>147</v>
      </c>
      <c r="O52" s="10"/>
      <c r="P52" s="9"/>
    </row>
    <row r="53" spans="1:16" hidden="1" x14ac:dyDescent="0.2">
      <c r="A53" s="20">
        <v>2</v>
      </c>
      <c r="B53" s="12" t="s">
        <v>23</v>
      </c>
      <c r="C53" s="19"/>
      <c r="D53" s="9"/>
      <c r="E53" s="19"/>
      <c r="F53" s="19"/>
      <c r="G53" s="19"/>
      <c r="H53" s="19">
        <v>8</v>
      </c>
      <c r="I53" s="19"/>
      <c r="J53" s="19"/>
      <c r="K53" s="12" t="s">
        <v>16</v>
      </c>
      <c r="L53" s="35">
        <f t="shared" ref="L53" si="10">SUBTOTAL(9,C53:J53)</f>
        <v>0</v>
      </c>
      <c r="M53" s="10" t="s">
        <v>58</v>
      </c>
      <c r="N53" s="9" t="s">
        <v>148</v>
      </c>
      <c r="O53" s="10"/>
      <c r="P53" s="9"/>
    </row>
    <row r="54" spans="1:16" hidden="1" x14ac:dyDescent="0.2">
      <c r="A54" s="20">
        <v>2</v>
      </c>
      <c r="B54" s="12" t="s">
        <v>23</v>
      </c>
      <c r="C54" s="19"/>
      <c r="D54" s="9"/>
      <c r="E54" s="19"/>
      <c r="F54" s="19"/>
      <c r="G54" s="19"/>
      <c r="H54" s="19">
        <v>12.95</v>
      </c>
      <c r="I54" s="19"/>
      <c r="J54" s="19">
        <v>1.94</v>
      </c>
      <c r="K54" s="12" t="s">
        <v>16</v>
      </c>
      <c r="L54" s="35">
        <f t="shared" si="9"/>
        <v>0</v>
      </c>
      <c r="M54" s="10" t="s">
        <v>58</v>
      </c>
      <c r="N54" s="9" t="s">
        <v>149</v>
      </c>
      <c r="O54" s="10"/>
      <c r="P54" s="9"/>
    </row>
    <row r="55" spans="1:16" hidden="1" x14ac:dyDescent="0.2">
      <c r="A55" s="20">
        <v>2</v>
      </c>
      <c r="B55" s="12" t="s">
        <v>23</v>
      </c>
      <c r="C55" s="19"/>
      <c r="D55" s="9"/>
      <c r="E55" s="19"/>
      <c r="F55" s="19"/>
      <c r="G55" s="19"/>
      <c r="H55" s="19">
        <f>3.95+3.95+4+4+2.25+2.99+5.75+5.75+2.25+2.99+2.99+2.99+3.25+3.25+1.75+1.75+2.95+2.95+2.95+2.95+2.95+2.95+4.25+4.25+4.25+4.25+4+2.17+2.25+2.25+2.95+2.99+4+3.75</f>
        <v>112.92000000000002</v>
      </c>
      <c r="I55" s="19"/>
      <c r="J55" s="19">
        <v>13.55</v>
      </c>
      <c r="K55" s="12" t="s">
        <v>16</v>
      </c>
      <c r="L55" s="35">
        <f t="shared" si="9"/>
        <v>0</v>
      </c>
      <c r="M55" s="10" t="s">
        <v>58</v>
      </c>
      <c r="N55" s="9" t="s">
        <v>150</v>
      </c>
      <c r="O55" s="10"/>
      <c r="P55" s="9"/>
    </row>
    <row r="56" spans="1:16" hidden="1" x14ac:dyDescent="0.2">
      <c r="A56" s="20">
        <v>2</v>
      </c>
      <c r="B56" s="12" t="s">
        <v>23</v>
      </c>
      <c r="C56" s="19"/>
      <c r="D56" s="9"/>
      <c r="E56" s="19"/>
      <c r="F56" s="19"/>
      <c r="G56" s="19"/>
      <c r="H56" s="19">
        <f>6+8</f>
        <v>14</v>
      </c>
      <c r="I56" s="19"/>
      <c r="J56" s="19">
        <v>2.1</v>
      </c>
      <c r="K56" s="12" t="s">
        <v>16</v>
      </c>
      <c r="L56" s="35">
        <f t="shared" si="9"/>
        <v>0</v>
      </c>
      <c r="M56" s="10" t="s">
        <v>58</v>
      </c>
      <c r="N56" s="9" t="s">
        <v>151</v>
      </c>
      <c r="O56" s="10"/>
      <c r="P56" s="9"/>
    </row>
    <row r="57" spans="1:16" hidden="1" x14ac:dyDescent="0.2">
      <c r="A57" s="20">
        <v>2</v>
      </c>
      <c r="B57" s="12" t="s">
        <v>23</v>
      </c>
      <c r="C57" s="19"/>
      <c r="D57" s="9"/>
      <c r="E57" s="19"/>
      <c r="F57" s="19"/>
      <c r="G57" s="19"/>
      <c r="H57" s="19">
        <v>6</v>
      </c>
      <c r="I57" s="19"/>
      <c r="J57" s="19">
        <v>0.9</v>
      </c>
      <c r="K57" s="12" t="s">
        <v>16</v>
      </c>
      <c r="L57" s="35">
        <f t="shared" si="9"/>
        <v>0</v>
      </c>
      <c r="M57" s="10" t="s">
        <v>58</v>
      </c>
      <c r="N57" s="9" t="s">
        <v>152</v>
      </c>
      <c r="O57" s="10"/>
      <c r="P57" s="9"/>
    </row>
    <row r="58" spans="1:16" hidden="1" x14ac:dyDescent="0.2">
      <c r="A58" s="20">
        <v>2</v>
      </c>
      <c r="B58" s="12" t="s">
        <v>23</v>
      </c>
      <c r="C58" s="19"/>
      <c r="D58" s="9"/>
      <c r="E58" s="19"/>
      <c r="F58" s="19"/>
      <c r="G58" s="19"/>
      <c r="H58" s="19">
        <f>12.95+5+6</f>
        <v>23.95</v>
      </c>
      <c r="I58" s="19"/>
      <c r="J58" s="19">
        <v>3.59</v>
      </c>
      <c r="K58" s="12" t="s">
        <v>16</v>
      </c>
      <c r="L58" s="35">
        <f t="shared" si="9"/>
        <v>0</v>
      </c>
      <c r="M58" s="10" t="s">
        <v>58</v>
      </c>
      <c r="N58" s="9" t="s">
        <v>153</v>
      </c>
      <c r="O58" s="10"/>
      <c r="P58" s="9"/>
    </row>
    <row r="59" spans="1:16" hidden="1" x14ac:dyDescent="0.2">
      <c r="A59" s="20">
        <v>3</v>
      </c>
      <c r="B59" s="12" t="s">
        <v>23</v>
      </c>
      <c r="C59" s="19"/>
      <c r="D59" s="9"/>
      <c r="E59" s="19"/>
      <c r="F59" s="19"/>
      <c r="G59" s="19"/>
      <c r="H59" s="19">
        <v>4.25</v>
      </c>
      <c r="I59" s="19"/>
      <c r="J59" s="19"/>
      <c r="K59" s="12" t="s">
        <v>16</v>
      </c>
      <c r="L59" s="35">
        <f t="shared" ref="L59:L65" si="11">SUBTOTAL(9,C59:J59)</f>
        <v>0</v>
      </c>
      <c r="M59" s="10" t="s">
        <v>58</v>
      </c>
      <c r="N59" s="9" t="s">
        <v>154</v>
      </c>
      <c r="O59" s="10"/>
      <c r="P59" s="9"/>
    </row>
    <row r="60" spans="1:16" hidden="1" x14ac:dyDescent="0.2">
      <c r="A60" s="20">
        <v>3</v>
      </c>
      <c r="B60" s="12" t="s">
        <v>23</v>
      </c>
      <c r="C60" s="19"/>
      <c r="D60" s="9"/>
      <c r="E60" s="19"/>
      <c r="F60" s="19"/>
      <c r="G60" s="19"/>
      <c r="H60" s="19">
        <v>12.95</v>
      </c>
      <c r="I60" s="19"/>
      <c r="J60" s="19">
        <v>1.94</v>
      </c>
      <c r="K60" s="12" t="s">
        <v>16</v>
      </c>
      <c r="L60" s="35">
        <f t="shared" si="11"/>
        <v>0</v>
      </c>
      <c r="M60" s="10" t="s">
        <v>58</v>
      </c>
      <c r="N60" s="9" t="s">
        <v>155</v>
      </c>
      <c r="O60" s="10"/>
      <c r="P60" s="9"/>
    </row>
    <row r="61" spans="1:16" hidden="1" x14ac:dyDescent="0.2">
      <c r="A61" s="20">
        <v>3</v>
      </c>
      <c r="B61" s="12" t="s">
        <v>23</v>
      </c>
      <c r="C61" s="19"/>
      <c r="D61" s="9"/>
      <c r="E61" s="19"/>
      <c r="F61" s="19"/>
      <c r="G61" s="19"/>
      <c r="H61" s="19">
        <v>9.25</v>
      </c>
      <c r="I61" s="19"/>
      <c r="J61" s="19">
        <v>1.39</v>
      </c>
      <c r="K61" s="12" t="s">
        <v>16</v>
      </c>
      <c r="L61" s="35">
        <f t="shared" si="11"/>
        <v>0</v>
      </c>
      <c r="M61" s="10" t="s">
        <v>58</v>
      </c>
      <c r="N61" s="9" t="s">
        <v>156</v>
      </c>
      <c r="O61" s="10"/>
      <c r="P61" s="9"/>
    </row>
    <row r="62" spans="1:16" hidden="1" x14ac:dyDescent="0.2">
      <c r="A62" s="20">
        <v>3</v>
      </c>
      <c r="B62" s="12" t="s">
        <v>20</v>
      </c>
      <c r="C62" s="19">
        <f>24+19+13+9</f>
        <v>65</v>
      </c>
      <c r="D62" s="9"/>
      <c r="E62" s="19"/>
      <c r="F62" s="19"/>
      <c r="G62" s="19"/>
      <c r="H62" s="19"/>
      <c r="I62" s="19"/>
      <c r="J62" s="19">
        <v>7.8</v>
      </c>
      <c r="K62" s="12" t="s">
        <v>16</v>
      </c>
      <c r="L62" s="35">
        <f t="shared" si="11"/>
        <v>0</v>
      </c>
      <c r="M62" s="10" t="s">
        <v>58</v>
      </c>
      <c r="N62" s="9" t="s">
        <v>157</v>
      </c>
      <c r="O62" s="10"/>
      <c r="P62" s="9"/>
    </row>
    <row r="63" spans="1:16" hidden="1" x14ac:dyDescent="0.2">
      <c r="A63" s="20">
        <v>3</v>
      </c>
      <c r="B63" s="12" t="s">
        <v>23</v>
      </c>
      <c r="C63" s="19"/>
      <c r="D63" s="9"/>
      <c r="E63" s="19"/>
      <c r="F63" s="19"/>
      <c r="G63" s="19"/>
      <c r="H63" s="19">
        <v>15.49</v>
      </c>
      <c r="I63" s="19"/>
      <c r="J63" s="19"/>
      <c r="K63" s="12" t="s">
        <v>17</v>
      </c>
      <c r="L63" s="35">
        <f t="shared" si="11"/>
        <v>0</v>
      </c>
      <c r="M63" s="10" t="s">
        <v>60</v>
      </c>
      <c r="N63" s="9" t="s">
        <v>158</v>
      </c>
      <c r="O63" s="10"/>
      <c r="P63" s="9"/>
    </row>
    <row r="64" spans="1:16" hidden="1" x14ac:dyDescent="0.2">
      <c r="A64" s="20">
        <v>3</v>
      </c>
      <c r="B64" s="12" t="s">
        <v>23</v>
      </c>
      <c r="C64" s="19"/>
      <c r="D64" s="9"/>
      <c r="E64" s="19"/>
      <c r="F64" s="19"/>
      <c r="G64" s="19"/>
      <c r="H64" s="19">
        <v>2.99</v>
      </c>
      <c r="I64" s="19"/>
      <c r="J64" s="19"/>
      <c r="K64" s="12" t="s">
        <v>17</v>
      </c>
      <c r="L64" s="35">
        <f t="shared" si="11"/>
        <v>0</v>
      </c>
      <c r="M64" s="10" t="s">
        <v>60</v>
      </c>
      <c r="N64" s="9" t="s">
        <v>159</v>
      </c>
      <c r="O64" s="10"/>
      <c r="P64" s="9"/>
    </row>
    <row r="65" spans="1:16" hidden="1" x14ac:dyDescent="0.2">
      <c r="A65" s="20">
        <v>3</v>
      </c>
      <c r="B65" s="12" t="s">
        <v>23</v>
      </c>
      <c r="C65" s="19"/>
      <c r="D65" s="9"/>
      <c r="E65" s="19"/>
      <c r="F65" s="19"/>
      <c r="G65" s="19"/>
      <c r="H65" s="19">
        <v>20.99</v>
      </c>
      <c r="I65" s="19"/>
      <c r="J65" s="19"/>
      <c r="K65" s="12" t="s">
        <v>17</v>
      </c>
      <c r="L65" s="35">
        <f t="shared" si="11"/>
        <v>0</v>
      </c>
      <c r="M65" s="10" t="s">
        <v>60</v>
      </c>
      <c r="N65" s="9" t="s">
        <v>160</v>
      </c>
      <c r="O65" s="10"/>
      <c r="P65" s="9"/>
    </row>
    <row r="66" spans="1:16" hidden="1" x14ac:dyDescent="0.2">
      <c r="A66" s="20">
        <v>3</v>
      </c>
      <c r="B66" s="12" t="s">
        <v>23</v>
      </c>
      <c r="C66" s="19"/>
      <c r="D66" s="9"/>
      <c r="E66" s="19"/>
      <c r="F66" s="19"/>
      <c r="G66" s="19"/>
      <c r="H66" s="19">
        <v>3</v>
      </c>
      <c r="I66" s="19"/>
      <c r="J66" s="19">
        <v>0.45</v>
      </c>
      <c r="K66" s="12" t="s">
        <v>17</v>
      </c>
      <c r="L66" s="35">
        <f t="shared" ref="L66:L69" si="12">SUBTOTAL(9,C66:J66)</f>
        <v>0</v>
      </c>
      <c r="M66" s="10" t="s">
        <v>60</v>
      </c>
      <c r="N66" s="9" t="s">
        <v>161</v>
      </c>
      <c r="O66" s="10"/>
      <c r="P66" s="9"/>
    </row>
    <row r="67" spans="1:16" hidden="1" x14ac:dyDescent="0.2">
      <c r="A67" s="20">
        <v>3</v>
      </c>
      <c r="B67" s="12" t="s">
        <v>23</v>
      </c>
      <c r="C67" s="19"/>
      <c r="D67" s="9"/>
      <c r="E67" s="19"/>
      <c r="F67" s="19"/>
      <c r="G67" s="19"/>
      <c r="H67" s="19">
        <v>3.5</v>
      </c>
      <c r="I67" s="19"/>
      <c r="J67" s="19">
        <v>0.53</v>
      </c>
      <c r="K67" s="12" t="s">
        <v>17</v>
      </c>
      <c r="L67" s="35">
        <f t="shared" si="12"/>
        <v>0</v>
      </c>
      <c r="M67" s="10" t="s">
        <v>60</v>
      </c>
      <c r="N67" s="9" t="s">
        <v>161</v>
      </c>
      <c r="O67" s="10"/>
      <c r="P67" s="9"/>
    </row>
    <row r="68" spans="1:16" hidden="1" x14ac:dyDescent="0.2">
      <c r="A68" s="20">
        <v>3</v>
      </c>
      <c r="B68" s="12" t="s">
        <v>20</v>
      </c>
      <c r="C68" s="19">
        <f>19+46</f>
        <v>65</v>
      </c>
      <c r="D68" s="9"/>
      <c r="E68" s="19"/>
      <c r="F68" s="19"/>
      <c r="G68" s="19"/>
      <c r="H68" s="19"/>
      <c r="I68" s="19"/>
      <c r="J68" s="19">
        <v>9.75</v>
      </c>
      <c r="K68" s="12" t="s">
        <v>17</v>
      </c>
      <c r="L68" s="35">
        <f t="shared" si="12"/>
        <v>0</v>
      </c>
      <c r="M68" s="10" t="s">
        <v>60</v>
      </c>
      <c r="N68" s="9" t="s">
        <v>162</v>
      </c>
      <c r="O68" s="10"/>
      <c r="P68" s="9"/>
    </row>
    <row r="69" spans="1:16" hidden="1" x14ac:dyDescent="0.2">
      <c r="A69" s="20">
        <v>3</v>
      </c>
      <c r="B69" s="12" t="s">
        <v>20</v>
      </c>
      <c r="C69" s="19"/>
      <c r="D69" s="9">
        <v>27</v>
      </c>
      <c r="E69" s="19"/>
      <c r="F69" s="19"/>
      <c r="G69" s="19"/>
      <c r="H69" s="19"/>
      <c r="I69" s="19"/>
      <c r="J69" s="19">
        <v>4.05</v>
      </c>
      <c r="K69" s="12" t="s">
        <v>17</v>
      </c>
      <c r="L69" s="35">
        <f t="shared" si="12"/>
        <v>0</v>
      </c>
      <c r="M69" s="10" t="s">
        <v>60</v>
      </c>
      <c r="N69" s="9" t="s">
        <v>163</v>
      </c>
      <c r="O69" s="10"/>
      <c r="P69" s="9"/>
    </row>
    <row r="70" spans="1:16" hidden="1" x14ac:dyDescent="0.2">
      <c r="A70" s="20">
        <v>3</v>
      </c>
      <c r="B70" s="12" t="s">
        <v>20</v>
      </c>
      <c r="C70" s="19">
        <f>15+20+32</f>
        <v>67</v>
      </c>
      <c r="D70" s="9">
        <v>80</v>
      </c>
      <c r="E70" s="19"/>
      <c r="F70" s="19"/>
      <c r="G70" s="19">
        <v>7</v>
      </c>
      <c r="H70" s="19"/>
      <c r="I70" s="19"/>
      <c r="J70" s="19">
        <v>23.1</v>
      </c>
      <c r="K70" s="12" t="s">
        <v>17</v>
      </c>
      <c r="L70" s="35">
        <f t="shared" ref="L70:L81" si="13">SUBTOTAL(9,C70:J70)</f>
        <v>0</v>
      </c>
      <c r="M70" s="10" t="s">
        <v>60</v>
      </c>
      <c r="N70" s="9" t="s">
        <v>164</v>
      </c>
      <c r="O70" s="10"/>
      <c r="P70" s="9"/>
    </row>
    <row r="71" spans="1:16" hidden="1" x14ac:dyDescent="0.2">
      <c r="A71" s="20">
        <v>3</v>
      </c>
      <c r="B71" s="12" t="s">
        <v>20</v>
      </c>
      <c r="C71" s="19">
        <f>39+38+23+30+9.5</f>
        <v>139.5</v>
      </c>
      <c r="D71" s="9">
        <f>39+14</f>
        <v>53</v>
      </c>
      <c r="E71" s="19"/>
      <c r="F71" s="19"/>
      <c r="G71" s="19"/>
      <c r="H71" s="19"/>
      <c r="I71" s="19"/>
      <c r="J71" s="19">
        <v>28.88</v>
      </c>
      <c r="K71" s="12" t="s">
        <v>17</v>
      </c>
      <c r="L71" s="35">
        <f t="shared" si="13"/>
        <v>0</v>
      </c>
      <c r="M71" s="10" t="s">
        <v>60</v>
      </c>
      <c r="N71" s="9" t="s">
        <v>165</v>
      </c>
      <c r="O71" s="10"/>
      <c r="P71" s="9"/>
    </row>
    <row r="72" spans="1:16" hidden="1" x14ac:dyDescent="0.2">
      <c r="A72" s="20">
        <v>4</v>
      </c>
      <c r="B72" s="12" t="s">
        <v>23</v>
      </c>
      <c r="C72" s="19"/>
      <c r="D72" s="9"/>
      <c r="E72" s="19"/>
      <c r="F72" s="19"/>
      <c r="G72" s="19"/>
      <c r="H72" s="19">
        <v>6</v>
      </c>
      <c r="I72" s="19"/>
      <c r="J72" s="19"/>
      <c r="K72" s="12" t="s">
        <v>16</v>
      </c>
      <c r="L72" s="35">
        <f t="shared" si="13"/>
        <v>0</v>
      </c>
      <c r="M72" s="10" t="s">
        <v>58</v>
      </c>
      <c r="N72" s="9" t="s">
        <v>166</v>
      </c>
      <c r="O72" s="10"/>
      <c r="P72" s="9"/>
    </row>
    <row r="73" spans="1:16" hidden="1" x14ac:dyDescent="0.2">
      <c r="A73" s="20">
        <v>4</v>
      </c>
      <c r="B73" s="12" t="s">
        <v>23</v>
      </c>
      <c r="C73" s="19"/>
      <c r="D73" s="9"/>
      <c r="E73" s="19"/>
      <c r="F73" s="19"/>
      <c r="G73" s="19"/>
      <c r="H73" s="19">
        <v>10.25</v>
      </c>
      <c r="I73" s="19"/>
      <c r="J73" s="19">
        <v>1.54</v>
      </c>
      <c r="K73" s="12" t="s">
        <v>16</v>
      </c>
      <c r="L73" s="35">
        <f t="shared" si="13"/>
        <v>0</v>
      </c>
      <c r="M73" s="10" t="s">
        <v>58</v>
      </c>
      <c r="N73" s="9" t="s">
        <v>167</v>
      </c>
      <c r="O73" s="10"/>
      <c r="P73" s="9"/>
    </row>
    <row r="74" spans="1:16" hidden="1" x14ac:dyDescent="0.2">
      <c r="A74" s="20">
        <v>4</v>
      </c>
      <c r="B74" s="12" t="s">
        <v>20</v>
      </c>
      <c r="C74" s="19">
        <f>30+23</f>
        <v>53</v>
      </c>
      <c r="D74" s="9"/>
      <c r="E74" s="19"/>
      <c r="F74" s="19"/>
      <c r="G74" s="19"/>
      <c r="H74" s="19"/>
      <c r="I74" s="19"/>
      <c r="J74" s="19">
        <v>6.36</v>
      </c>
      <c r="K74" s="12" t="s">
        <v>16</v>
      </c>
      <c r="L74" s="35">
        <f t="shared" si="13"/>
        <v>0</v>
      </c>
      <c r="M74" s="10" t="s">
        <v>58</v>
      </c>
      <c r="N74" s="9" t="s">
        <v>168</v>
      </c>
      <c r="O74" s="10"/>
      <c r="P74" s="9"/>
    </row>
    <row r="75" spans="1:16" hidden="1" x14ac:dyDescent="0.2">
      <c r="A75" s="20">
        <v>4</v>
      </c>
      <c r="B75" s="12" t="s">
        <v>20</v>
      </c>
      <c r="C75" s="19">
        <f>15+15</f>
        <v>30</v>
      </c>
      <c r="D75" s="9"/>
      <c r="E75" s="19"/>
      <c r="F75" s="19"/>
      <c r="G75" s="19"/>
      <c r="H75" s="19"/>
      <c r="I75" s="19"/>
      <c r="J75" s="19">
        <v>33.6</v>
      </c>
      <c r="K75" s="12" t="s">
        <v>16</v>
      </c>
      <c r="L75" s="35">
        <f t="shared" si="13"/>
        <v>0</v>
      </c>
      <c r="M75" s="10" t="s">
        <v>58</v>
      </c>
      <c r="N75" s="9" t="s">
        <v>169</v>
      </c>
      <c r="O75" s="10"/>
      <c r="P75" s="9"/>
    </row>
    <row r="76" spans="1:16" hidden="1" x14ac:dyDescent="0.2">
      <c r="A76" s="20">
        <v>4</v>
      </c>
      <c r="B76" s="12" t="s">
        <v>23</v>
      </c>
      <c r="C76" s="19"/>
      <c r="D76" s="9"/>
      <c r="E76" s="19"/>
      <c r="F76" s="19"/>
      <c r="G76" s="19"/>
      <c r="H76" s="19">
        <v>12</v>
      </c>
      <c r="I76" s="19"/>
      <c r="J76" s="19">
        <v>1.8</v>
      </c>
      <c r="K76" s="12" t="s">
        <v>17</v>
      </c>
      <c r="L76" s="35">
        <f t="shared" si="13"/>
        <v>0</v>
      </c>
      <c r="M76" s="10" t="s">
        <v>60</v>
      </c>
      <c r="N76" s="9" t="s">
        <v>170</v>
      </c>
      <c r="O76" s="10"/>
      <c r="P76" s="9"/>
    </row>
    <row r="77" spans="1:16" hidden="1" x14ac:dyDescent="0.2">
      <c r="A77" s="20">
        <v>4</v>
      </c>
      <c r="B77" s="12" t="s">
        <v>23</v>
      </c>
      <c r="C77" s="19"/>
      <c r="D77" s="9"/>
      <c r="E77" s="19"/>
      <c r="F77" s="19"/>
      <c r="G77" s="19"/>
      <c r="H77" s="19">
        <v>3.5</v>
      </c>
      <c r="I77" s="19"/>
      <c r="J77" s="19">
        <v>0.53</v>
      </c>
      <c r="K77" s="12" t="s">
        <v>17</v>
      </c>
      <c r="L77" s="35">
        <f t="shared" si="13"/>
        <v>0</v>
      </c>
      <c r="M77" s="10" t="s">
        <v>60</v>
      </c>
      <c r="N77" s="9" t="s">
        <v>170</v>
      </c>
      <c r="O77" s="10"/>
      <c r="P77" s="9"/>
    </row>
    <row r="78" spans="1:16" hidden="1" x14ac:dyDescent="0.2">
      <c r="A78" s="20">
        <v>4</v>
      </c>
      <c r="B78" s="12" t="s">
        <v>20</v>
      </c>
      <c r="C78" s="19">
        <v>45</v>
      </c>
      <c r="D78" s="9"/>
      <c r="E78" s="19"/>
      <c r="F78" s="19"/>
      <c r="G78" s="19"/>
      <c r="H78" s="19"/>
      <c r="I78" s="19"/>
      <c r="J78" s="19">
        <v>6.75</v>
      </c>
      <c r="K78" s="12" t="s">
        <v>17</v>
      </c>
      <c r="L78" s="35">
        <f t="shared" si="13"/>
        <v>0</v>
      </c>
      <c r="M78" s="10" t="s">
        <v>60</v>
      </c>
      <c r="N78" s="9" t="s">
        <v>162</v>
      </c>
      <c r="O78" s="10"/>
      <c r="P78" s="9"/>
    </row>
    <row r="79" spans="1:16" hidden="1" x14ac:dyDescent="0.2">
      <c r="A79" s="20">
        <v>4</v>
      </c>
      <c r="B79" s="12" t="s">
        <v>20</v>
      </c>
      <c r="C79" s="19">
        <v>78</v>
      </c>
      <c r="D79" s="9">
        <f>78+11.5</f>
        <v>89.5</v>
      </c>
      <c r="E79" s="19"/>
      <c r="F79" s="19"/>
      <c r="G79" s="19"/>
      <c r="H79" s="19"/>
      <c r="I79" s="19"/>
      <c r="J79" s="19">
        <v>25.13</v>
      </c>
      <c r="K79" s="12" t="s">
        <v>17</v>
      </c>
      <c r="L79" s="35">
        <f t="shared" si="13"/>
        <v>0</v>
      </c>
      <c r="M79" s="10" t="s">
        <v>60</v>
      </c>
      <c r="N79" s="9" t="s">
        <v>171</v>
      </c>
      <c r="O79" s="10"/>
      <c r="P79" s="9"/>
    </row>
    <row r="80" spans="1:16" hidden="1" x14ac:dyDescent="0.2">
      <c r="A80" s="20">
        <v>5</v>
      </c>
      <c r="B80" s="12" t="s">
        <v>23</v>
      </c>
      <c r="C80" s="19"/>
      <c r="D80" s="9"/>
      <c r="E80" s="19"/>
      <c r="F80" s="19"/>
      <c r="G80" s="19"/>
      <c r="H80" s="19">
        <f>12.95+4.25</f>
        <v>17.2</v>
      </c>
      <c r="I80" s="19"/>
      <c r="J80" s="19">
        <v>2.06</v>
      </c>
      <c r="K80" s="12" t="s">
        <v>16</v>
      </c>
      <c r="L80" s="35">
        <f t="shared" si="13"/>
        <v>0</v>
      </c>
      <c r="M80" s="10" t="s">
        <v>58</v>
      </c>
      <c r="N80" s="9" t="s">
        <v>172</v>
      </c>
      <c r="O80" s="10"/>
      <c r="P80" s="9"/>
    </row>
    <row r="81" spans="1:16" hidden="1" x14ac:dyDescent="0.2">
      <c r="A81" s="20">
        <v>5</v>
      </c>
      <c r="B81" s="12" t="s">
        <v>23</v>
      </c>
      <c r="C81" s="19"/>
      <c r="D81" s="9"/>
      <c r="E81" s="19"/>
      <c r="F81" s="19"/>
      <c r="G81" s="19"/>
      <c r="H81" s="19">
        <f>12+4.25</f>
        <v>16.25</v>
      </c>
      <c r="I81" s="19"/>
      <c r="J81" s="19">
        <v>1.95</v>
      </c>
      <c r="K81" s="12" t="s">
        <v>16</v>
      </c>
      <c r="L81" s="35">
        <f t="shared" si="13"/>
        <v>0</v>
      </c>
      <c r="M81" s="10" t="s">
        <v>58</v>
      </c>
      <c r="N81" s="9" t="s">
        <v>173</v>
      </c>
      <c r="O81" s="10"/>
      <c r="P81" s="9"/>
    </row>
    <row r="82" spans="1:16" hidden="1" x14ac:dyDescent="0.2">
      <c r="A82" s="20">
        <v>5</v>
      </c>
      <c r="B82" s="12" t="s">
        <v>23</v>
      </c>
      <c r="C82" s="19"/>
      <c r="D82" s="9"/>
      <c r="E82" s="19"/>
      <c r="F82" s="19"/>
      <c r="G82" s="19"/>
      <c r="H82" s="19">
        <f>6+8</f>
        <v>14</v>
      </c>
      <c r="I82" s="19"/>
      <c r="J82" s="19">
        <v>1.75</v>
      </c>
      <c r="K82" s="12" t="s">
        <v>16</v>
      </c>
      <c r="L82" s="35">
        <f t="shared" ref="L82:L97" si="14">SUBTOTAL(9,C82:J82)</f>
        <v>0</v>
      </c>
      <c r="M82" s="10" t="s">
        <v>58</v>
      </c>
      <c r="N82" s="9" t="s">
        <v>151</v>
      </c>
      <c r="O82" s="10"/>
      <c r="P82" s="9"/>
    </row>
    <row r="83" spans="1:16" hidden="1" x14ac:dyDescent="0.2">
      <c r="A83" s="20">
        <v>5</v>
      </c>
      <c r="B83" s="12" t="s">
        <v>23</v>
      </c>
      <c r="C83" s="19"/>
      <c r="D83" s="9"/>
      <c r="E83" s="19"/>
      <c r="F83" s="19"/>
      <c r="G83" s="19"/>
      <c r="H83" s="19">
        <v>8</v>
      </c>
      <c r="I83" s="19"/>
      <c r="J83" s="19"/>
      <c r="K83" s="12" t="s">
        <v>16</v>
      </c>
      <c r="L83" s="35">
        <f t="shared" si="14"/>
        <v>0</v>
      </c>
      <c r="M83" s="10" t="s">
        <v>58</v>
      </c>
      <c r="N83" s="9" t="s">
        <v>174</v>
      </c>
      <c r="O83" s="10"/>
      <c r="P83" s="9"/>
    </row>
    <row r="84" spans="1:16" hidden="1" x14ac:dyDescent="0.2">
      <c r="A84" s="20">
        <v>5</v>
      </c>
      <c r="B84" s="12" t="s">
        <v>23</v>
      </c>
      <c r="C84" s="19"/>
      <c r="D84" s="9"/>
      <c r="E84" s="19"/>
      <c r="F84" s="19"/>
      <c r="G84" s="19"/>
      <c r="H84" s="19">
        <f>3+3.5+4.25</f>
        <v>10.75</v>
      </c>
      <c r="I84" s="19"/>
      <c r="J84" s="19">
        <v>1.61</v>
      </c>
      <c r="K84" s="12" t="s">
        <v>16</v>
      </c>
      <c r="L84" s="35">
        <f t="shared" si="14"/>
        <v>0</v>
      </c>
      <c r="M84" s="10" t="s">
        <v>58</v>
      </c>
      <c r="N84" s="9" t="s">
        <v>149</v>
      </c>
      <c r="O84" s="10"/>
      <c r="P84" s="9"/>
    </row>
    <row r="85" spans="1:16" hidden="1" x14ac:dyDescent="0.2">
      <c r="A85" s="20">
        <v>5</v>
      </c>
      <c r="B85" s="12" t="s">
        <v>20</v>
      </c>
      <c r="C85" s="19">
        <v>318</v>
      </c>
      <c r="D85" s="9"/>
      <c r="E85" s="19"/>
      <c r="F85" s="19"/>
      <c r="G85" s="19"/>
      <c r="H85" s="19"/>
      <c r="I85" s="19"/>
      <c r="J85" s="19">
        <v>38.159999999999997</v>
      </c>
      <c r="K85" s="12" t="s">
        <v>16</v>
      </c>
      <c r="L85" s="35">
        <f t="shared" si="14"/>
        <v>0</v>
      </c>
      <c r="M85" s="10" t="s">
        <v>58</v>
      </c>
      <c r="N85" s="9" t="s">
        <v>175</v>
      </c>
      <c r="O85" s="10"/>
      <c r="P85" s="9"/>
    </row>
    <row r="86" spans="1:16" hidden="1" x14ac:dyDescent="0.2">
      <c r="A86" s="20">
        <v>5</v>
      </c>
      <c r="B86" s="12" t="s">
        <v>23</v>
      </c>
      <c r="C86" s="19"/>
      <c r="D86" s="9"/>
      <c r="E86" s="19"/>
      <c r="F86" s="19"/>
      <c r="G86" s="19"/>
      <c r="H86" s="19">
        <v>12</v>
      </c>
      <c r="I86" s="19"/>
      <c r="J86" s="19">
        <v>1.8</v>
      </c>
      <c r="K86" s="12" t="s">
        <v>17</v>
      </c>
      <c r="L86" s="35">
        <f t="shared" si="14"/>
        <v>0</v>
      </c>
      <c r="M86" s="10" t="s">
        <v>60</v>
      </c>
      <c r="N86" s="9" t="s">
        <v>176</v>
      </c>
      <c r="O86" s="10"/>
      <c r="P86" s="9"/>
    </row>
    <row r="87" spans="1:16" hidden="1" x14ac:dyDescent="0.2">
      <c r="A87" s="20">
        <v>5</v>
      </c>
      <c r="B87" s="12" t="s">
        <v>20</v>
      </c>
      <c r="C87" s="19"/>
      <c r="D87" s="9">
        <f>60+68+40.5+70+42+14</f>
        <v>294.5</v>
      </c>
      <c r="E87" s="19"/>
      <c r="F87" s="19">
        <f>270+55</f>
        <v>325</v>
      </c>
      <c r="G87" s="19"/>
      <c r="H87" s="19"/>
      <c r="I87" s="19"/>
      <c r="J87" s="19">
        <v>92.93</v>
      </c>
      <c r="K87" s="12" t="s">
        <v>17</v>
      </c>
      <c r="L87" s="35">
        <f t="shared" si="14"/>
        <v>0</v>
      </c>
      <c r="M87" s="10" t="s">
        <v>60</v>
      </c>
      <c r="N87" s="9" t="s">
        <v>177</v>
      </c>
      <c r="O87" s="10"/>
      <c r="P87" s="9"/>
    </row>
    <row r="88" spans="1:16" hidden="1" x14ac:dyDescent="0.2">
      <c r="A88" s="20">
        <v>5</v>
      </c>
      <c r="B88" s="12" t="s">
        <v>20</v>
      </c>
      <c r="C88" s="19">
        <v>1113</v>
      </c>
      <c r="D88" s="9"/>
      <c r="E88" s="19"/>
      <c r="F88" s="19">
        <f>180+28</f>
        <v>208</v>
      </c>
      <c r="G88" s="19"/>
      <c r="H88" s="19"/>
      <c r="I88" s="19"/>
      <c r="J88" s="19">
        <v>198.15</v>
      </c>
      <c r="K88" s="12" t="s">
        <v>17</v>
      </c>
      <c r="L88" s="35">
        <f t="shared" si="14"/>
        <v>0</v>
      </c>
      <c r="M88" s="10" t="s">
        <v>60</v>
      </c>
      <c r="N88" s="9" t="s">
        <v>178</v>
      </c>
      <c r="O88" s="10"/>
      <c r="P88" s="9"/>
    </row>
    <row r="89" spans="1:16" hidden="1" x14ac:dyDescent="0.2">
      <c r="A89" s="20">
        <v>5</v>
      </c>
      <c r="B89" s="12" t="s">
        <v>20</v>
      </c>
      <c r="C89" s="19">
        <f>477+18</f>
        <v>495</v>
      </c>
      <c r="D89" s="9">
        <v>27</v>
      </c>
      <c r="E89" s="19"/>
      <c r="F89" s="19"/>
      <c r="G89" s="19">
        <v>4.5</v>
      </c>
      <c r="H89" s="19"/>
      <c r="I89" s="19"/>
      <c r="J89" s="19">
        <v>78.98</v>
      </c>
      <c r="K89" s="12" t="s">
        <v>17</v>
      </c>
      <c r="L89" s="35">
        <f t="shared" si="14"/>
        <v>0</v>
      </c>
      <c r="M89" s="10" t="s">
        <v>60</v>
      </c>
      <c r="N89" s="9" t="s">
        <v>179</v>
      </c>
      <c r="O89" s="10"/>
      <c r="P89" s="9"/>
    </row>
    <row r="90" spans="1:16" hidden="1" x14ac:dyDescent="0.2">
      <c r="A90" s="20">
        <v>5</v>
      </c>
      <c r="B90" s="12" t="s">
        <v>20</v>
      </c>
      <c r="C90" s="19">
        <v>159</v>
      </c>
      <c r="D90" s="9"/>
      <c r="E90" s="19"/>
      <c r="F90" s="19"/>
      <c r="G90" s="19"/>
      <c r="H90" s="19"/>
      <c r="I90" s="19"/>
      <c r="J90" s="19">
        <v>23.85</v>
      </c>
      <c r="K90" s="12" t="s">
        <v>17</v>
      </c>
      <c r="L90" s="35">
        <f t="shared" si="14"/>
        <v>0</v>
      </c>
      <c r="M90" s="10" t="s">
        <v>60</v>
      </c>
      <c r="N90" s="9" t="s">
        <v>180</v>
      </c>
      <c r="O90" s="10"/>
      <c r="P90" s="9"/>
    </row>
    <row r="91" spans="1:16" hidden="1" x14ac:dyDescent="0.2">
      <c r="A91" s="20">
        <v>5</v>
      </c>
      <c r="B91" s="12" t="s">
        <v>20</v>
      </c>
      <c r="C91" s="19">
        <v>795</v>
      </c>
      <c r="D91" s="9"/>
      <c r="E91" s="19"/>
      <c r="F91" s="19">
        <v>20</v>
      </c>
      <c r="G91" s="19">
        <v>21</v>
      </c>
      <c r="H91" s="19"/>
      <c r="I91" s="19"/>
      <c r="J91" s="19">
        <v>125.4</v>
      </c>
      <c r="K91" s="12" t="s">
        <v>17</v>
      </c>
      <c r="L91" s="35">
        <f t="shared" si="14"/>
        <v>0</v>
      </c>
      <c r="M91" s="10" t="s">
        <v>60</v>
      </c>
      <c r="N91" s="9" t="s">
        <v>181</v>
      </c>
      <c r="O91" s="10"/>
      <c r="P91" s="9"/>
    </row>
    <row r="92" spans="1:16" hidden="1" x14ac:dyDescent="0.2">
      <c r="A92" s="20">
        <v>5</v>
      </c>
      <c r="B92" s="12" t="s">
        <v>20</v>
      </c>
      <c r="C92" s="19">
        <f>636+45</f>
        <v>681</v>
      </c>
      <c r="D92" s="9"/>
      <c r="E92" s="19"/>
      <c r="F92" s="19">
        <f>48+13+24</f>
        <v>85</v>
      </c>
      <c r="G92" s="19">
        <f>4.25+4.25+14+3.49</f>
        <v>25.990000000000002</v>
      </c>
      <c r="H92" s="19"/>
      <c r="I92" s="19"/>
      <c r="J92" s="19">
        <v>118.8</v>
      </c>
      <c r="K92" s="12" t="s">
        <v>17</v>
      </c>
      <c r="L92" s="35">
        <f t="shared" si="14"/>
        <v>0</v>
      </c>
      <c r="M92" s="10" t="s">
        <v>60</v>
      </c>
      <c r="N92" s="9" t="s">
        <v>182</v>
      </c>
      <c r="O92" s="10"/>
      <c r="P92" s="9"/>
    </row>
    <row r="93" spans="1:16" hidden="1" x14ac:dyDescent="0.2">
      <c r="A93" s="20">
        <v>5</v>
      </c>
      <c r="B93" s="12" t="s">
        <v>20</v>
      </c>
      <c r="C93" s="19">
        <f>16.5+7+11</f>
        <v>34.5</v>
      </c>
      <c r="D93" s="9"/>
      <c r="E93" s="19"/>
      <c r="F93" s="19"/>
      <c r="G93" s="19"/>
      <c r="H93" s="19"/>
      <c r="I93" s="19"/>
      <c r="J93" s="19">
        <v>5.18</v>
      </c>
      <c r="K93" s="12" t="s">
        <v>17</v>
      </c>
      <c r="L93" s="35">
        <f t="shared" si="14"/>
        <v>0</v>
      </c>
      <c r="M93" s="10" t="s">
        <v>60</v>
      </c>
      <c r="N93" s="9" t="s">
        <v>183</v>
      </c>
      <c r="O93" s="10"/>
      <c r="P93" s="9"/>
    </row>
    <row r="94" spans="1:16" hidden="1" x14ac:dyDescent="0.2">
      <c r="A94" s="20">
        <v>5</v>
      </c>
      <c r="B94" s="12" t="s">
        <v>20</v>
      </c>
      <c r="C94" s="19">
        <v>954</v>
      </c>
      <c r="D94" s="9"/>
      <c r="E94" s="19"/>
      <c r="F94" s="19">
        <v>45</v>
      </c>
      <c r="G94" s="19">
        <v>21</v>
      </c>
      <c r="H94" s="19"/>
      <c r="I94" s="19"/>
      <c r="J94" s="19">
        <v>153</v>
      </c>
      <c r="K94" s="12" t="s">
        <v>17</v>
      </c>
      <c r="L94" s="35">
        <f t="shared" si="14"/>
        <v>0</v>
      </c>
      <c r="M94" s="10" t="s">
        <v>60</v>
      </c>
      <c r="N94" s="9" t="s">
        <v>184</v>
      </c>
      <c r="O94" s="10"/>
      <c r="P94" s="9"/>
    </row>
    <row r="95" spans="1:16" hidden="1" x14ac:dyDescent="0.2">
      <c r="A95" s="20">
        <v>5</v>
      </c>
      <c r="B95" s="12" t="s">
        <v>20</v>
      </c>
      <c r="C95" s="19">
        <f>9.5+7+5.5+5.5</f>
        <v>27.5</v>
      </c>
      <c r="D95" s="9"/>
      <c r="E95" s="19"/>
      <c r="F95" s="19"/>
      <c r="G95" s="19">
        <v>8.5</v>
      </c>
      <c r="H95" s="19"/>
      <c r="I95" s="19"/>
      <c r="J95" s="19">
        <v>5.4</v>
      </c>
      <c r="K95" s="12" t="s">
        <v>17</v>
      </c>
      <c r="L95" s="35">
        <f t="shared" si="14"/>
        <v>0</v>
      </c>
      <c r="M95" s="10" t="s">
        <v>60</v>
      </c>
      <c r="N95" s="9" t="s">
        <v>185</v>
      </c>
      <c r="O95" s="10"/>
      <c r="P95" s="9"/>
    </row>
    <row r="96" spans="1:16" hidden="1" x14ac:dyDescent="0.2">
      <c r="A96" s="20">
        <v>5</v>
      </c>
      <c r="B96" s="12" t="s">
        <v>20</v>
      </c>
      <c r="C96" s="19"/>
      <c r="D96" s="9"/>
      <c r="E96" s="19"/>
      <c r="F96" s="19">
        <f>55+85</f>
        <v>140</v>
      </c>
      <c r="G96" s="19"/>
      <c r="H96" s="19"/>
      <c r="I96" s="19"/>
      <c r="J96" s="19">
        <v>21</v>
      </c>
      <c r="K96" s="12" t="s">
        <v>17</v>
      </c>
      <c r="L96" s="35">
        <f t="shared" si="14"/>
        <v>0</v>
      </c>
      <c r="M96" s="10" t="s">
        <v>60</v>
      </c>
      <c r="N96" s="9" t="s">
        <v>186</v>
      </c>
      <c r="O96" s="10"/>
      <c r="P96" s="9"/>
    </row>
    <row r="97" spans="1:16" hidden="1" x14ac:dyDescent="0.2">
      <c r="A97" s="20">
        <v>5</v>
      </c>
      <c r="B97" s="12" t="s">
        <v>20</v>
      </c>
      <c r="C97" s="19"/>
      <c r="D97" s="9"/>
      <c r="E97" s="19"/>
      <c r="F97" s="19">
        <v>190</v>
      </c>
      <c r="G97" s="19">
        <v>14</v>
      </c>
      <c r="H97" s="19"/>
      <c r="I97" s="19"/>
      <c r="J97" s="19">
        <v>30.6</v>
      </c>
      <c r="K97" s="12" t="s">
        <v>17</v>
      </c>
      <c r="L97" s="35">
        <f t="shared" si="14"/>
        <v>0</v>
      </c>
      <c r="M97" s="10" t="s">
        <v>60</v>
      </c>
      <c r="N97" s="9" t="s">
        <v>187</v>
      </c>
      <c r="O97" s="10"/>
      <c r="P97" s="9"/>
    </row>
    <row r="98" spans="1:16" hidden="1" x14ac:dyDescent="0.2">
      <c r="A98" s="20">
        <v>5</v>
      </c>
      <c r="B98" s="12" t="s">
        <v>20</v>
      </c>
      <c r="C98" s="19">
        <f>16+8</f>
        <v>24</v>
      </c>
      <c r="D98" s="9"/>
      <c r="E98" s="19"/>
      <c r="F98" s="19"/>
      <c r="G98" s="19">
        <f>7+4.25</f>
        <v>11.25</v>
      </c>
      <c r="H98" s="19"/>
      <c r="I98" s="19"/>
      <c r="J98" s="19">
        <v>5.29</v>
      </c>
      <c r="K98" s="12" t="s">
        <v>17</v>
      </c>
      <c r="L98" s="35">
        <f t="shared" ref="L98" si="15">SUBTOTAL(9,C98:J98)</f>
        <v>0</v>
      </c>
      <c r="M98" s="10" t="s">
        <v>60</v>
      </c>
      <c r="N98" s="9" t="s">
        <v>162</v>
      </c>
      <c r="O98" s="10"/>
      <c r="P98" s="9"/>
    </row>
    <row r="99" spans="1:16" ht="12.75" hidden="1" customHeight="1" x14ac:dyDescent="0.2">
      <c r="A99" s="20">
        <v>6</v>
      </c>
      <c r="B99" s="12" t="s">
        <v>20</v>
      </c>
      <c r="C99" s="19">
        <v>16</v>
      </c>
      <c r="D99" s="9"/>
      <c r="E99" s="19"/>
      <c r="F99" s="19"/>
      <c r="G99" s="19"/>
      <c r="H99" s="19"/>
      <c r="I99" s="19"/>
      <c r="J99" s="19">
        <v>2.4</v>
      </c>
      <c r="K99" s="12" t="s">
        <v>17</v>
      </c>
      <c r="L99" s="35">
        <f t="shared" ref="L99" si="16">SUBTOTAL(9,C99:J99)</f>
        <v>0</v>
      </c>
      <c r="M99" s="10" t="s">
        <v>60</v>
      </c>
      <c r="N99" s="9" t="s">
        <v>188</v>
      </c>
      <c r="O99" s="10"/>
      <c r="P99" s="9"/>
    </row>
    <row r="100" spans="1:16" ht="12.75" hidden="1" customHeight="1" x14ac:dyDescent="0.2">
      <c r="A100" s="20">
        <v>6</v>
      </c>
      <c r="B100" s="12" t="s">
        <v>23</v>
      </c>
      <c r="C100" s="19">
        <v>18.45</v>
      </c>
      <c r="D100" s="9"/>
      <c r="E100" s="19"/>
      <c r="F100" s="19"/>
      <c r="G100" s="19"/>
      <c r="H100" s="19"/>
      <c r="I100" s="19"/>
      <c r="J100" s="19">
        <v>2.21</v>
      </c>
      <c r="K100" s="12" t="s">
        <v>16</v>
      </c>
      <c r="L100" s="35">
        <f t="shared" ref="L100:L101" si="17">SUBTOTAL(9,C100:J100)</f>
        <v>0</v>
      </c>
      <c r="M100" s="10" t="s">
        <v>58</v>
      </c>
      <c r="N100" s="9" t="s">
        <v>172</v>
      </c>
      <c r="O100" s="10"/>
      <c r="P100" s="9"/>
    </row>
    <row r="101" spans="1:16" ht="12.75" hidden="1" customHeight="1" x14ac:dyDescent="0.2">
      <c r="A101" s="20">
        <v>7</v>
      </c>
      <c r="B101" s="12" t="s">
        <v>20</v>
      </c>
      <c r="C101" s="19"/>
      <c r="D101" s="9">
        <v>51</v>
      </c>
      <c r="E101" s="19"/>
      <c r="F101" s="19"/>
      <c r="G101" s="19"/>
      <c r="H101" s="19"/>
      <c r="I101" s="19"/>
      <c r="J101" s="19">
        <v>7.65</v>
      </c>
      <c r="K101" s="12" t="s">
        <v>17</v>
      </c>
      <c r="L101" s="35">
        <f t="shared" si="17"/>
        <v>0</v>
      </c>
      <c r="M101" s="10" t="s">
        <v>60</v>
      </c>
      <c r="N101" s="9" t="s">
        <v>189</v>
      </c>
      <c r="O101" s="10"/>
      <c r="P101" s="9"/>
    </row>
    <row r="102" spans="1:16" hidden="1" x14ac:dyDescent="0.2">
      <c r="A102" s="20">
        <v>7</v>
      </c>
      <c r="B102" s="12" t="s">
        <v>23</v>
      </c>
      <c r="C102" s="19"/>
      <c r="D102" s="9"/>
      <c r="E102" s="19"/>
      <c r="F102" s="19"/>
      <c r="G102" s="19"/>
      <c r="H102" s="19">
        <v>6.95</v>
      </c>
      <c r="I102" s="19"/>
      <c r="J102" s="19"/>
      <c r="K102" s="12" t="s">
        <v>17</v>
      </c>
      <c r="L102" s="48">
        <f t="shared" ref="L102:L103" si="18">SUBTOTAL(9,C102:J102)</f>
        <v>0</v>
      </c>
      <c r="M102" s="10" t="s">
        <v>60</v>
      </c>
      <c r="N102" s="9" t="s">
        <v>190</v>
      </c>
      <c r="O102" s="10"/>
      <c r="P102" s="46"/>
    </row>
    <row r="103" spans="1:16" hidden="1" x14ac:dyDescent="0.2">
      <c r="A103" s="20">
        <v>7</v>
      </c>
      <c r="B103" s="12" t="s">
        <v>23</v>
      </c>
      <c r="C103" s="19"/>
      <c r="D103" s="9"/>
      <c r="E103" s="19"/>
      <c r="F103" s="19"/>
      <c r="G103" s="19"/>
      <c r="H103" s="19">
        <v>6.95</v>
      </c>
      <c r="I103" s="19"/>
      <c r="J103" s="19"/>
      <c r="K103" s="12" t="s">
        <v>17</v>
      </c>
      <c r="L103" s="48">
        <f t="shared" si="18"/>
        <v>0</v>
      </c>
      <c r="M103" s="10" t="s">
        <v>60</v>
      </c>
      <c r="N103" s="9" t="s">
        <v>191</v>
      </c>
      <c r="O103" s="10"/>
      <c r="P103" s="46"/>
    </row>
    <row r="104" spans="1:16" hidden="1" x14ac:dyDescent="0.2">
      <c r="A104" s="20">
        <v>7</v>
      </c>
      <c r="B104" s="12" t="s">
        <v>23</v>
      </c>
      <c r="C104" s="19"/>
      <c r="D104" s="9"/>
      <c r="E104" s="19"/>
      <c r="F104" s="19"/>
      <c r="G104" s="19"/>
      <c r="H104" s="19">
        <v>6.95</v>
      </c>
      <c r="I104" s="19"/>
      <c r="J104" s="19"/>
      <c r="K104" s="12" t="s">
        <v>17</v>
      </c>
      <c r="L104" s="48">
        <f t="shared" ref="L104:L106" si="19">SUBTOTAL(9,C104:J104)</f>
        <v>0</v>
      </c>
      <c r="M104" s="10" t="s">
        <v>60</v>
      </c>
      <c r="N104" s="9" t="s">
        <v>192</v>
      </c>
      <c r="O104" s="10"/>
      <c r="P104" s="46"/>
    </row>
    <row r="105" spans="1:16" hidden="1" x14ac:dyDescent="0.2">
      <c r="A105" s="20">
        <v>7</v>
      </c>
      <c r="B105" s="11" t="s">
        <v>23</v>
      </c>
      <c r="C105" s="19"/>
      <c r="D105" s="9"/>
      <c r="E105" s="19"/>
      <c r="F105" s="19"/>
      <c r="G105" s="19"/>
      <c r="H105" s="19">
        <v>6.95</v>
      </c>
      <c r="I105" s="19"/>
      <c r="J105" s="19"/>
      <c r="K105" s="12" t="s">
        <v>17</v>
      </c>
      <c r="L105" s="48">
        <f t="shared" si="19"/>
        <v>0</v>
      </c>
      <c r="M105" s="10" t="s">
        <v>60</v>
      </c>
      <c r="N105" s="9" t="s">
        <v>193</v>
      </c>
      <c r="O105" s="10"/>
      <c r="P105" s="46"/>
    </row>
    <row r="106" spans="1:16" hidden="1" x14ac:dyDescent="0.2">
      <c r="A106" s="20">
        <v>7</v>
      </c>
      <c r="B106" s="12" t="s">
        <v>23</v>
      </c>
      <c r="C106" s="19"/>
      <c r="D106" s="9"/>
      <c r="E106" s="19"/>
      <c r="F106" s="19"/>
      <c r="G106" s="19"/>
      <c r="H106" s="19">
        <v>15.99</v>
      </c>
      <c r="I106" s="19"/>
      <c r="J106" s="19"/>
      <c r="K106" s="12" t="s">
        <v>17</v>
      </c>
      <c r="L106" s="48">
        <f t="shared" si="19"/>
        <v>0</v>
      </c>
      <c r="M106" s="10" t="s">
        <v>60</v>
      </c>
      <c r="N106" s="9" t="s">
        <v>194</v>
      </c>
      <c r="O106" s="10"/>
      <c r="P106" s="46"/>
    </row>
    <row r="107" spans="1:16" hidden="1" x14ac:dyDescent="0.2">
      <c r="A107" s="20">
        <v>7</v>
      </c>
      <c r="B107" s="12" t="s">
        <v>23</v>
      </c>
      <c r="C107" s="19"/>
      <c r="D107" s="9"/>
      <c r="E107" s="19"/>
      <c r="F107" s="19"/>
      <c r="G107" s="19"/>
      <c r="H107" s="19">
        <v>15.99</v>
      </c>
      <c r="I107" s="19"/>
      <c r="J107" s="19"/>
      <c r="K107" s="12" t="s">
        <v>17</v>
      </c>
      <c r="L107" s="48">
        <f t="shared" ref="L107:L142" si="20">SUBTOTAL(9,C107:J107)</f>
        <v>0</v>
      </c>
      <c r="M107" s="10" t="s">
        <v>60</v>
      </c>
      <c r="N107" s="9" t="s">
        <v>195</v>
      </c>
      <c r="O107" s="10"/>
      <c r="P107" s="46"/>
    </row>
    <row r="108" spans="1:16" hidden="1" x14ac:dyDescent="0.2">
      <c r="A108" s="20">
        <v>7</v>
      </c>
      <c r="B108" s="12" t="s">
        <v>23</v>
      </c>
      <c r="C108" s="19"/>
      <c r="D108" s="9"/>
      <c r="E108" s="19"/>
      <c r="F108" s="19"/>
      <c r="G108" s="19"/>
      <c r="H108" s="19">
        <v>15.99</v>
      </c>
      <c r="I108" s="19"/>
      <c r="J108" s="19"/>
      <c r="K108" s="12" t="s">
        <v>17</v>
      </c>
      <c r="L108" s="48">
        <f t="shared" si="20"/>
        <v>0</v>
      </c>
      <c r="M108" s="10" t="s">
        <v>60</v>
      </c>
      <c r="N108" s="9" t="s">
        <v>196</v>
      </c>
      <c r="O108" s="10"/>
      <c r="P108" s="46"/>
    </row>
    <row r="109" spans="1:16" hidden="1" x14ac:dyDescent="0.2">
      <c r="A109" s="20">
        <v>7</v>
      </c>
      <c r="B109" s="12" t="s">
        <v>23</v>
      </c>
      <c r="C109" s="19"/>
      <c r="D109" s="9"/>
      <c r="E109" s="19"/>
      <c r="F109" s="19"/>
      <c r="G109" s="19"/>
      <c r="H109" s="19">
        <v>4.25</v>
      </c>
      <c r="I109" s="19"/>
      <c r="J109" s="19"/>
      <c r="K109" s="12" t="s">
        <v>16</v>
      </c>
      <c r="L109" s="35">
        <f t="shared" si="20"/>
        <v>0</v>
      </c>
      <c r="M109" s="10" t="s">
        <v>58</v>
      </c>
      <c r="N109" s="9" t="s">
        <v>197</v>
      </c>
      <c r="O109" s="10"/>
      <c r="P109" s="46"/>
    </row>
    <row r="110" spans="1:16" hidden="1" x14ac:dyDescent="0.2">
      <c r="A110" s="20">
        <v>7</v>
      </c>
      <c r="B110" s="12" t="s">
        <v>23</v>
      </c>
      <c r="C110" s="19">
        <v>5.5</v>
      </c>
      <c r="D110" s="9"/>
      <c r="E110" s="19"/>
      <c r="F110" s="19"/>
      <c r="G110" s="19"/>
      <c r="H110" s="19"/>
      <c r="I110" s="19"/>
      <c r="J110" s="19"/>
      <c r="K110" s="12" t="s">
        <v>16</v>
      </c>
      <c r="L110" s="48">
        <f t="shared" si="20"/>
        <v>0</v>
      </c>
      <c r="M110" s="10" t="s">
        <v>58</v>
      </c>
      <c r="N110" s="9" t="s">
        <v>198</v>
      </c>
      <c r="O110" s="10"/>
      <c r="P110" s="46"/>
    </row>
    <row r="111" spans="1:16" hidden="1" x14ac:dyDescent="0.2">
      <c r="A111" s="20">
        <v>7</v>
      </c>
      <c r="B111" s="12" t="s">
        <v>20</v>
      </c>
      <c r="C111" s="9">
        <f>15+22</f>
        <v>37</v>
      </c>
      <c r="D111" s="9"/>
      <c r="E111" s="19"/>
      <c r="F111" s="19"/>
      <c r="G111" s="19">
        <v>4.5</v>
      </c>
      <c r="H111" s="19"/>
      <c r="I111" s="19"/>
      <c r="J111" s="19">
        <v>4.9800000000000004</v>
      </c>
      <c r="K111" s="12" t="s">
        <v>16</v>
      </c>
      <c r="L111" s="48">
        <f t="shared" si="20"/>
        <v>0</v>
      </c>
      <c r="M111" s="10" t="s">
        <v>58</v>
      </c>
      <c r="N111" s="9" t="s">
        <v>199</v>
      </c>
      <c r="O111" s="10"/>
      <c r="P111" s="46"/>
    </row>
    <row r="112" spans="1:16" hidden="1" x14ac:dyDescent="0.2">
      <c r="A112" s="20">
        <v>7</v>
      </c>
      <c r="B112" s="12" t="s">
        <v>23</v>
      </c>
      <c r="C112" s="19"/>
      <c r="D112" s="9"/>
      <c r="E112" s="19"/>
      <c r="F112" s="19"/>
      <c r="G112" s="19"/>
      <c r="H112" s="19">
        <v>10.25</v>
      </c>
      <c r="I112" s="19"/>
      <c r="J112" s="19">
        <v>1.25</v>
      </c>
      <c r="K112" s="12" t="s">
        <v>16</v>
      </c>
      <c r="L112" s="48">
        <f>SUBTOTAL(9,C112:J112)</f>
        <v>0</v>
      </c>
      <c r="M112" s="10" t="s">
        <v>58</v>
      </c>
      <c r="N112" s="9" t="s">
        <v>110</v>
      </c>
      <c r="O112" s="10"/>
      <c r="P112" s="46"/>
    </row>
    <row r="113" spans="1:16" hidden="1" x14ac:dyDescent="0.2">
      <c r="A113" s="20">
        <v>7</v>
      </c>
      <c r="B113" s="12" t="s">
        <v>20</v>
      </c>
      <c r="C113" s="19">
        <f>4.25+2.5</f>
        <v>6.75</v>
      </c>
      <c r="D113" s="9"/>
      <c r="E113" s="19"/>
      <c r="F113" s="19"/>
      <c r="G113" s="19"/>
      <c r="H113" s="19"/>
      <c r="I113" s="19"/>
      <c r="J113" s="19">
        <v>0.81</v>
      </c>
      <c r="K113" s="12" t="s">
        <v>16</v>
      </c>
      <c r="L113" s="48">
        <f t="shared" si="20"/>
        <v>0</v>
      </c>
      <c r="M113" s="10" t="s">
        <v>58</v>
      </c>
      <c r="N113" s="9" t="s">
        <v>173</v>
      </c>
      <c r="O113" s="10"/>
      <c r="P113" s="46"/>
    </row>
    <row r="114" spans="1:16" hidden="1" x14ac:dyDescent="0.2">
      <c r="A114" s="20">
        <v>7</v>
      </c>
      <c r="B114" s="12" t="s">
        <v>20</v>
      </c>
      <c r="C114" s="19">
        <f>15+8</f>
        <v>23</v>
      </c>
      <c r="D114" s="9"/>
      <c r="E114" s="19"/>
      <c r="F114" s="19"/>
      <c r="G114" s="19"/>
      <c r="H114" s="19"/>
      <c r="I114" s="19"/>
      <c r="J114" s="19">
        <v>2.76</v>
      </c>
      <c r="K114" s="12" t="s">
        <v>16</v>
      </c>
      <c r="L114" s="48">
        <f t="shared" si="20"/>
        <v>0</v>
      </c>
      <c r="M114" s="10" t="s">
        <v>58</v>
      </c>
      <c r="N114" s="9" t="s">
        <v>200</v>
      </c>
      <c r="O114" s="10"/>
      <c r="P114" s="46"/>
    </row>
    <row r="115" spans="1:16" hidden="1" x14ac:dyDescent="0.2">
      <c r="A115" s="20">
        <v>7</v>
      </c>
      <c r="B115" s="12" t="s">
        <v>20</v>
      </c>
      <c r="C115" s="19">
        <v>26</v>
      </c>
      <c r="D115" s="9"/>
      <c r="E115" s="19"/>
      <c r="F115" s="19"/>
      <c r="G115" s="19"/>
      <c r="H115" s="19"/>
      <c r="I115" s="19"/>
      <c r="J115" s="19"/>
      <c r="K115" s="12" t="s">
        <v>16</v>
      </c>
      <c r="L115" s="48">
        <f t="shared" ref="L115:L135" si="21">SUBTOTAL(9,C115:J115)</f>
        <v>0</v>
      </c>
      <c r="M115" s="10" t="s">
        <v>58</v>
      </c>
      <c r="N115" s="9" t="s">
        <v>201</v>
      </c>
      <c r="O115" s="10"/>
      <c r="P115" s="46"/>
    </row>
    <row r="116" spans="1:16" hidden="1" x14ac:dyDescent="0.2">
      <c r="A116" s="20">
        <v>8</v>
      </c>
      <c r="B116" s="12" t="s">
        <v>20</v>
      </c>
      <c r="C116" s="19">
        <v>42</v>
      </c>
      <c r="D116" s="9"/>
      <c r="E116" s="19"/>
      <c r="F116" s="19"/>
      <c r="G116" s="19"/>
      <c r="H116" s="19"/>
      <c r="I116" s="19"/>
      <c r="J116" s="19">
        <v>7.56</v>
      </c>
      <c r="K116" s="12" t="s">
        <v>17</v>
      </c>
      <c r="L116" s="48">
        <f t="shared" si="21"/>
        <v>0</v>
      </c>
      <c r="M116" s="10" t="s">
        <v>60</v>
      </c>
      <c r="N116" s="9" t="s">
        <v>208</v>
      </c>
      <c r="O116" s="10"/>
      <c r="P116" s="46"/>
    </row>
    <row r="117" spans="1:16" hidden="1" x14ac:dyDescent="0.2">
      <c r="A117" s="20">
        <v>8</v>
      </c>
      <c r="B117" s="12" t="s">
        <v>23</v>
      </c>
      <c r="C117" s="19"/>
      <c r="D117" s="9"/>
      <c r="E117" s="19"/>
      <c r="F117" s="19"/>
      <c r="G117" s="19"/>
      <c r="H117" s="19">
        <v>4.75</v>
      </c>
      <c r="I117" s="19"/>
      <c r="J117" s="19"/>
      <c r="K117" s="12" t="s">
        <v>17</v>
      </c>
      <c r="L117" s="48">
        <f t="shared" si="21"/>
        <v>0</v>
      </c>
      <c r="M117" s="10" t="s">
        <v>60</v>
      </c>
      <c r="N117" s="9" t="s">
        <v>209</v>
      </c>
      <c r="O117" s="10"/>
      <c r="P117" s="46"/>
    </row>
    <row r="118" spans="1:16" hidden="1" x14ac:dyDescent="0.2">
      <c r="A118" s="20">
        <v>8</v>
      </c>
      <c r="B118" s="12" t="s">
        <v>23</v>
      </c>
      <c r="C118" s="19"/>
      <c r="D118" s="9"/>
      <c r="E118" s="19"/>
      <c r="F118" s="19"/>
      <c r="G118" s="19"/>
      <c r="H118" s="19">
        <v>13.24</v>
      </c>
      <c r="I118" s="19"/>
      <c r="J118" s="19"/>
      <c r="K118" s="12" t="s">
        <v>17</v>
      </c>
      <c r="L118" s="48">
        <f t="shared" si="21"/>
        <v>0</v>
      </c>
      <c r="M118" s="10" t="s">
        <v>60</v>
      </c>
      <c r="N118" s="9" t="s">
        <v>210</v>
      </c>
      <c r="O118" s="10"/>
      <c r="P118" s="46"/>
    </row>
    <row r="119" spans="1:16" hidden="1" x14ac:dyDescent="0.2">
      <c r="A119" s="20">
        <v>8</v>
      </c>
      <c r="B119" s="12" t="s">
        <v>23</v>
      </c>
      <c r="C119" s="19"/>
      <c r="D119" s="9"/>
      <c r="E119" s="19"/>
      <c r="F119" s="19"/>
      <c r="G119" s="19"/>
      <c r="H119" s="19">
        <v>13.24</v>
      </c>
      <c r="I119" s="19"/>
      <c r="J119" s="19"/>
      <c r="K119" s="12" t="s">
        <v>17</v>
      </c>
      <c r="L119" s="48">
        <f t="shared" si="21"/>
        <v>0</v>
      </c>
      <c r="M119" s="10" t="s">
        <v>60</v>
      </c>
      <c r="N119" s="9" t="s">
        <v>211</v>
      </c>
      <c r="O119" s="10"/>
      <c r="P119" s="46"/>
    </row>
    <row r="120" spans="1:16" hidden="1" x14ac:dyDescent="0.2">
      <c r="A120" s="20">
        <v>8</v>
      </c>
      <c r="B120" s="12" t="s">
        <v>23</v>
      </c>
      <c r="C120" s="19"/>
      <c r="D120" s="9"/>
      <c r="E120" s="19"/>
      <c r="F120" s="19"/>
      <c r="G120" s="19"/>
      <c r="H120" s="19">
        <v>6.95</v>
      </c>
      <c r="I120" s="19"/>
      <c r="J120" s="19"/>
      <c r="K120" s="12" t="s">
        <v>17</v>
      </c>
      <c r="L120" s="48">
        <f t="shared" si="21"/>
        <v>0</v>
      </c>
      <c r="M120" s="10" t="s">
        <v>60</v>
      </c>
      <c r="N120" s="9" t="s">
        <v>212</v>
      </c>
      <c r="O120" s="10"/>
      <c r="P120" s="46"/>
    </row>
    <row r="121" spans="1:16" hidden="1" x14ac:dyDescent="0.2">
      <c r="A121" s="20">
        <v>8</v>
      </c>
      <c r="B121" s="12" t="s">
        <v>23</v>
      </c>
      <c r="C121" s="19"/>
      <c r="D121" s="9"/>
      <c r="E121" s="19"/>
      <c r="F121" s="19"/>
      <c r="G121" s="19"/>
      <c r="H121" s="19">
        <v>6.95</v>
      </c>
      <c r="I121" s="19"/>
      <c r="J121" s="19"/>
      <c r="K121" s="12" t="s">
        <v>17</v>
      </c>
      <c r="L121" s="48">
        <f t="shared" si="21"/>
        <v>0</v>
      </c>
      <c r="M121" s="10" t="s">
        <v>60</v>
      </c>
      <c r="N121" s="9" t="s">
        <v>213</v>
      </c>
      <c r="O121" s="10"/>
      <c r="P121" s="46"/>
    </row>
    <row r="122" spans="1:16" hidden="1" x14ac:dyDescent="0.2">
      <c r="A122" s="20">
        <v>8</v>
      </c>
      <c r="B122" s="12" t="s">
        <v>23</v>
      </c>
      <c r="C122" s="19"/>
      <c r="D122" s="9"/>
      <c r="E122" s="19"/>
      <c r="F122" s="19"/>
      <c r="G122" s="19"/>
      <c r="H122" s="19">
        <v>6.95</v>
      </c>
      <c r="I122" s="19"/>
      <c r="J122" s="19"/>
      <c r="K122" s="12" t="s">
        <v>17</v>
      </c>
      <c r="L122" s="48">
        <f t="shared" si="21"/>
        <v>0</v>
      </c>
      <c r="M122" s="10" t="s">
        <v>60</v>
      </c>
      <c r="N122" s="9" t="s">
        <v>214</v>
      </c>
      <c r="O122" s="10"/>
      <c r="P122" s="46"/>
    </row>
    <row r="123" spans="1:16" hidden="1" x14ac:dyDescent="0.2">
      <c r="A123" s="20">
        <v>8</v>
      </c>
      <c r="B123" s="12" t="s">
        <v>23</v>
      </c>
      <c r="C123" s="19"/>
      <c r="D123" s="9"/>
      <c r="E123" s="19"/>
      <c r="F123" s="19"/>
      <c r="G123" s="19"/>
      <c r="H123" s="19">
        <v>6.95</v>
      </c>
      <c r="I123" s="19"/>
      <c r="J123" s="19"/>
      <c r="K123" s="12" t="s">
        <v>17</v>
      </c>
      <c r="L123" s="48">
        <f t="shared" si="21"/>
        <v>0</v>
      </c>
      <c r="M123" s="10" t="s">
        <v>60</v>
      </c>
      <c r="N123" s="9" t="s">
        <v>215</v>
      </c>
      <c r="O123" s="10"/>
      <c r="P123" s="46"/>
    </row>
    <row r="124" spans="1:16" hidden="1" x14ac:dyDescent="0.2">
      <c r="A124" s="20">
        <v>8</v>
      </c>
      <c r="B124" s="12" t="s">
        <v>23</v>
      </c>
      <c r="C124" s="19"/>
      <c r="D124" s="9"/>
      <c r="E124" s="19"/>
      <c r="F124" s="19"/>
      <c r="G124" s="19"/>
      <c r="H124" s="19">
        <v>6.95</v>
      </c>
      <c r="I124" s="19"/>
      <c r="J124" s="19"/>
      <c r="K124" s="12" t="s">
        <v>17</v>
      </c>
      <c r="L124" s="48">
        <f t="shared" si="21"/>
        <v>0</v>
      </c>
      <c r="M124" s="10" t="s">
        <v>60</v>
      </c>
      <c r="N124" s="9" t="s">
        <v>216</v>
      </c>
      <c r="O124" s="10"/>
      <c r="P124" s="46"/>
    </row>
    <row r="125" spans="1:16" hidden="1" x14ac:dyDescent="0.2">
      <c r="A125" s="20">
        <v>8</v>
      </c>
      <c r="B125" s="12" t="s">
        <v>23</v>
      </c>
      <c r="C125" s="19"/>
      <c r="D125" s="9"/>
      <c r="E125" s="19"/>
      <c r="F125" s="19"/>
      <c r="G125" s="19"/>
      <c r="H125" s="19">
        <v>6.95</v>
      </c>
      <c r="I125" s="19"/>
      <c r="J125" s="19"/>
      <c r="K125" s="12" t="s">
        <v>17</v>
      </c>
      <c r="L125" s="48">
        <f t="shared" si="21"/>
        <v>0</v>
      </c>
      <c r="M125" s="10" t="s">
        <v>60</v>
      </c>
      <c r="N125" s="9" t="s">
        <v>217</v>
      </c>
      <c r="O125" s="10"/>
      <c r="P125" s="46"/>
    </row>
    <row r="126" spans="1:16" hidden="1" x14ac:dyDescent="0.2">
      <c r="A126" s="20">
        <v>8</v>
      </c>
      <c r="B126" s="12" t="s">
        <v>23</v>
      </c>
      <c r="C126" s="19"/>
      <c r="D126" s="9"/>
      <c r="E126" s="19"/>
      <c r="F126" s="19"/>
      <c r="G126" s="19"/>
      <c r="H126" s="19">
        <v>6.95</v>
      </c>
      <c r="I126" s="19"/>
      <c r="J126" s="19"/>
      <c r="K126" s="12" t="s">
        <v>17</v>
      </c>
      <c r="L126" s="48">
        <f t="shared" si="21"/>
        <v>0</v>
      </c>
      <c r="M126" s="10" t="s">
        <v>60</v>
      </c>
      <c r="N126" s="9" t="s">
        <v>218</v>
      </c>
      <c r="O126" s="10"/>
      <c r="P126" s="46"/>
    </row>
    <row r="127" spans="1:16" hidden="1" x14ac:dyDescent="0.2">
      <c r="A127" s="20">
        <v>8</v>
      </c>
      <c r="B127" s="12" t="s">
        <v>23</v>
      </c>
      <c r="C127" s="19"/>
      <c r="D127" s="9"/>
      <c r="E127" s="19"/>
      <c r="F127" s="19"/>
      <c r="G127" s="19"/>
      <c r="H127" s="19">
        <v>15.99</v>
      </c>
      <c r="I127" s="19"/>
      <c r="J127" s="19"/>
      <c r="K127" s="12" t="s">
        <v>17</v>
      </c>
      <c r="L127" s="48">
        <f t="shared" si="21"/>
        <v>0</v>
      </c>
      <c r="M127" s="10" t="s">
        <v>60</v>
      </c>
      <c r="N127" s="9" t="s">
        <v>219</v>
      </c>
      <c r="O127" s="10"/>
      <c r="P127" s="46"/>
    </row>
    <row r="128" spans="1:16" hidden="1" x14ac:dyDescent="0.2">
      <c r="A128" s="20">
        <v>8</v>
      </c>
      <c r="B128" s="12" t="s">
        <v>23</v>
      </c>
      <c r="C128" s="19"/>
      <c r="D128" s="9"/>
      <c r="E128" s="19"/>
      <c r="F128" s="19"/>
      <c r="G128" s="19"/>
      <c r="H128" s="19">
        <v>6.95</v>
      </c>
      <c r="I128" s="19"/>
      <c r="J128" s="19"/>
      <c r="K128" s="12" t="s">
        <v>17</v>
      </c>
      <c r="L128" s="48">
        <f t="shared" si="21"/>
        <v>0</v>
      </c>
      <c r="M128" s="10" t="s">
        <v>60</v>
      </c>
      <c r="N128" s="9" t="s">
        <v>220</v>
      </c>
      <c r="O128" s="10"/>
      <c r="P128" s="46"/>
    </row>
    <row r="129" spans="1:16" hidden="1" x14ac:dyDescent="0.2">
      <c r="A129" s="20">
        <v>8</v>
      </c>
      <c r="B129" s="12" t="s">
        <v>23</v>
      </c>
      <c r="C129" s="19"/>
      <c r="D129" s="9"/>
      <c r="E129" s="19"/>
      <c r="F129" s="19"/>
      <c r="G129" s="19"/>
      <c r="H129" s="19">
        <v>6.95</v>
      </c>
      <c r="I129" s="19"/>
      <c r="J129" s="19"/>
      <c r="K129" s="12" t="s">
        <v>17</v>
      </c>
      <c r="L129" s="48">
        <f t="shared" si="21"/>
        <v>0</v>
      </c>
      <c r="M129" s="10" t="s">
        <v>60</v>
      </c>
      <c r="N129" s="9" t="s">
        <v>221</v>
      </c>
      <c r="O129" s="10"/>
      <c r="P129" s="46"/>
    </row>
    <row r="130" spans="1:16" hidden="1" x14ac:dyDescent="0.2">
      <c r="A130" s="20">
        <v>8</v>
      </c>
      <c r="B130" s="12" t="s">
        <v>23</v>
      </c>
      <c r="C130" s="19"/>
      <c r="D130" s="9"/>
      <c r="E130" s="19"/>
      <c r="F130" s="19"/>
      <c r="G130" s="19"/>
      <c r="H130" s="19">
        <v>6.95</v>
      </c>
      <c r="I130" s="19"/>
      <c r="J130" s="19"/>
      <c r="K130" s="12" t="s">
        <v>17</v>
      </c>
      <c r="L130" s="48">
        <f t="shared" si="21"/>
        <v>0</v>
      </c>
      <c r="M130" s="10" t="s">
        <v>60</v>
      </c>
      <c r="N130" s="9" t="s">
        <v>222</v>
      </c>
      <c r="O130" s="10"/>
      <c r="P130" s="46"/>
    </row>
    <row r="131" spans="1:16" hidden="1" x14ac:dyDescent="0.2">
      <c r="A131" s="20">
        <v>8</v>
      </c>
      <c r="B131" s="12" t="s">
        <v>23</v>
      </c>
      <c r="C131" s="19"/>
      <c r="D131" s="9"/>
      <c r="E131" s="19"/>
      <c r="F131" s="19"/>
      <c r="G131" s="19"/>
      <c r="H131" s="19">
        <v>6.95</v>
      </c>
      <c r="I131" s="19"/>
      <c r="J131" s="19"/>
      <c r="K131" s="12" t="s">
        <v>17</v>
      </c>
      <c r="L131" s="48">
        <f t="shared" si="21"/>
        <v>0</v>
      </c>
      <c r="M131" s="10" t="s">
        <v>60</v>
      </c>
      <c r="N131" s="9" t="s">
        <v>223</v>
      </c>
      <c r="O131" s="10"/>
      <c r="P131" s="46"/>
    </row>
    <row r="132" spans="1:16" hidden="1" x14ac:dyDescent="0.2">
      <c r="A132" s="20">
        <v>8</v>
      </c>
      <c r="B132" s="12" t="s">
        <v>23</v>
      </c>
      <c r="C132" s="19"/>
      <c r="D132" s="9"/>
      <c r="E132" s="19"/>
      <c r="F132" s="19"/>
      <c r="G132" s="19"/>
      <c r="H132" s="19">
        <v>6.95</v>
      </c>
      <c r="I132" s="19"/>
      <c r="J132" s="19"/>
      <c r="K132" s="12" t="s">
        <v>17</v>
      </c>
      <c r="L132" s="48">
        <f t="shared" si="21"/>
        <v>0</v>
      </c>
      <c r="M132" s="10" t="s">
        <v>60</v>
      </c>
      <c r="N132" s="9" t="s">
        <v>224</v>
      </c>
      <c r="O132" s="10"/>
      <c r="P132" s="46"/>
    </row>
    <row r="133" spans="1:16" hidden="1" x14ac:dyDescent="0.2">
      <c r="A133" s="20">
        <v>8</v>
      </c>
      <c r="B133" s="12" t="s">
        <v>23</v>
      </c>
      <c r="C133" s="19"/>
      <c r="D133" s="9"/>
      <c r="E133" s="19"/>
      <c r="F133" s="19"/>
      <c r="G133" s="19"/>
      <c r="H133" s="19">
        <v>7.5</v>
      </c>
      <c r="I133" s="19"/>
      <c r="J133" s="19"/>
      <c r="K133" s="12" t="s">
        <v>17</v>
      </c>
      <c r="L133" s="48">
        <f t="shared" si="21"/>
        <v>0</v>
      </c>
      <c r="M133" s="10" t="s">
        <v>60</v>
      </c>
      <c r="N133" s="9" t="s">
        <v>225</v>
      </c>
      <c r="O133" s="10"/>
      <c r="P133" s="46"/>
    </row>
    <row r="134" spans="1:16" hidden="1" x14ac:dyDescent="0.2">
      <c r="A134" s="20">
        <v>8</v>
      </c>
      <c r="B134" s="12" t="s">
        <v>23</v>
      </c>
      <c r="C134" s="19"/>
      <c r="D134" s="9"/>
      <c r="E134" s="19"/>
      <c r="F134" s="19"/>
      <c r="G134" s="19"/>
      <c r="H134" s="19">
        <v>15.49</v>
      </c>
      <c r="I134" s="19"/>
      <c r="J134" s="19"/>
      <c r="K134" s="12" t="s">
        <v>17</v>
      </c>
      <c r="L134" s="48">
        <f t="shared" si="21"/>
        <v>0</v>
      </c>
      <c r="M134" s="10" t="s">
        <v>60</v>
      </c>
      <c r="N134" s="9" t="s">
        <v>226</v>
      </c>
      <c r="O134" s="10"/>
      <c r="P134" s="46"/>
    </row>
    <row r="135" spans="1:16" hidden="1" x14ac:dyDescent="0.2">
      <c r="A135" s="20">
        <v>8</v>
      </c>
      <c r="B135" s="12" t="s">
        <v>23</v>
      </c>
      <c r="C135" s="19"/>
      <c r="D135" s="9"/>
      <c r="E135" s="19"/>
      <c r="F135" s="19"/>
      <c r="G135" s="19"/>
      <c r="H135" s="19">
        <v>15.49</v>
      </c>
      <c r="I135" s="19"/>
      <c r="J135" s="19"/>
      <c r="K135" s="12" t="s">
        <v>17</v>
      </c>
      <c r="L135" s="48">
        <f t="shared" si="21"/>
        <v>0</v>
      </c>
      <c r="M135" s="10" t="s">
        <v>60</v>
      </c>
      <c r="N135" s="9" t="s">
        <v>227</v>
      </c>
      <c r="O135" s="10"/>
      <c r="P135" s="46"/>
    </row>
    <row r="136" spans="1:16" hidden="1" x14ac:dyDescent="0.2">
      <c r="A136" s="20">
        <v>8</v>
      </c>
      <c r="B136" s="12" t="s">
        <v>20</v>
      </c>
      <c r="C136" s="19">
        <f>12+21+22+9</f>
        <v>64</v>
      </c>
      <c r="D136" s="9"/>
      <c r="E136" s="19"/>
      <c r="F136" s="19"/>
      <c r="G136" s="19">
        <f>7+7</f>
        <v>14</v>
      </c>
      <c r="H136" s="19"/>
      <c r="I136" s="19"/>
      <c r="J136" s="19">
        <v>9.36</v>
      </c>
      <c r="K136" s="12" t="s">
        <v>16</v>
      </c>
      <c r="L136" s="48">
        <f t="shared" si="20"/>
        <v>0</v>
      </c>
      <c r="M136" s="10" t="s">
        <v>58</v>
      </c>
      <c r="N136" s="9" t="s">
        <v>202</v>
      </c>
      <c r="O136" s="10"/>
      <c r="P136" s="46"/>
    </row>
    <row r="137" spans="1:16" hidden="1" x14ac:dyDescent="0.2">
      <c r="A137" s="20">
        <v>8</v>
      </c>
      <c r="B137" s="12" t="s">
        <v>23</v>
      </c>
      <c r="C137" s="19"/>
      <c r="D137" s="9"/>
      <c r="E137" s="19"/>
      <c r="F137" s="19"/>
      <c r="G137" s="19"/>
      <c r="H137" s="19">
        <v>6.5</v>
      </c>
      <c r="I137" s="19"/>
      <c r="J137" s="19">
        <v>0.78</v>
      </c>
      <c r="K137" s="12" t="s">
        <v>16</v>
      </c>
      <c r="L137" s="48">
        <f t="shared" si="20"/>
        <v>0</v>
      </c>
      <c r="M137" s="10" t="s">
        <v>58</v>
      </c>
      <c r="N137" s="9" t="s">
        <v>167</v>
      </c>
      <c r="O137" s="10"/>
      <c r="P137" s="46"/>
    </row>
    <row r="138" spans="1:16" hidden="1" x14ac:dyDescent="0.2">
      <c r="A138" s="20">
        <v>8</v>
      </c>
      <c r="B138" s="12" t="s">
        <v>23</v>
      </c>
      <c r="C138" s="19"/>
      <c r="D138" s="9"/>
      <c r="E138" s="19"/>
      <c r="F138" s="19"/>
      <c r="G138" s="19"/>
      <c r="H138" s="19">
        <v>25.2</v>
      </c>
      <c r="I138" s="19"/>
      <c r="J138" s="19">
        <v>3.47</v>
      </c>
      <c r="K138" s="12" t="s">
        <v>16</v>
      </c>
      <c r="L138" s="48">
        <f t="shared" si="20"/>
        <v>0</v>
      </c>
      <c r="M138" s="10" t="s">
        <v>58</v>
      </c>
      <c r="N138" s="9" t="s">
        <v>203</v>
      </c>
      <c r="O138" s="10"/>
      <c r="P138" s="46"/>
    </row>
    <row r="139" spans="1:16" hidden="1" x14ac:dyDescent="0.2">
      <c r="A139" s="20">
        <v>8</v>
      </c>
      <c r="B139" s="12" t="s">
        <v>23</v>
      </c>
      <c r="C139" s="19"/>
      <c r="D139" s="9"/>
      <c r="E139" s="19"/>
      <c r="F139" s="19"/>
      <c r="G139" s="19"/>
      <c r="H139" s="19">
        <v>18.95</v>
      </c>
      <c r="I139" s="19"/>
      <c r="J139" s="19">
        <v>2.84</v>
      </c>
      <c r="K139" s="12" t="s">
        <v>16</v>
      </c>
      <c r="L139" s="48">
        <f t="shared" si="20"/>
        <v>0</v>
      </c>
      <c r="M139" s="10" t="s">
        <v>58</v>
      </c>
      <c r="N139" s="9" t="s">
        <v>204</v>
      </c>
      <c r="O139" s="10"/>
      <c r="P139" s="46"/>
    </row>
    <row r="140" spans="1:16" hidden="1" x14ac:dyDescent="0.2">
      <c r="A140" s="20">
        <v>8</v>
      </c>
      <c r="B140" s="12" t="s">
        <v>23</v>
      </c>
      <c r="C140" s="19"/>
      <c r="D140" s="9"/>
      <c r="E140" s="19"/>
      <c r="F140" s="19"/>
      <c r="G140" s="19"/>
      <c r="H140" s="19">
        <v>24.45</v>
      </c>
      <c r="I140" s="19"/>
      <c r="J140" s="19">
        <v>3.66</v>
      </c>
      <c r="K140" s="12" t="s">
        <v>16</v>
      </c>
      <c r="L140" s="48">
        <f t="shared" si="20"/>
        <v>0</v>
      </c>
      <c r="M140" s="10" t="s">
        <v>58</v>
      </c>
      <c r="N140" s="9" t="s">
        <v>205</v>
      </c>
      <c r="O140" s="10"/>
      <c r="P140" s="46"/>
    </row>
    <row r="141" spans="1:16" hidden="1" x14ac:dyDescent="0.2">
      <c r="A141" s="20">
        <v>8</v>
      </c>
      <c r="B141" s="12" t="s">
        <v>23</v>
      </c>
      <c r="C141" s="19"/>
      <c r="D141" s="9"/>
      <c r="E141" s="19"/>
      <c r="F141" s="19"/>
      <c r="G141" s="19"/>
      <c r="H141" s="19">
        <v>2.95</v>
      </c>
      <c r="I141" s="19"/>
      <c r="J141" s="19"/>
      <c r="K141" s="12" t="s">
        <v>16</v>
      </c>
      <c r="L141" s="48">
        <f t="shared" si="20"/>
        <v>0</v>
      </c>
      <c r="M141" s="10" t="s">
        <v>58</v>
      </c>
      <c r="N141" s="9" t="s">
        <v>206</v>
      </c>
      <c r="O141" s="10"/>
      <c r="P141" s="46"/>
    </row>
    <row r="142" spans="1:16" hidden="1" x14ac:dyDescent="0.2">
      <c r="A142" s="20">
        <v>8</v>
      </c>
      <c r="B142" s="12" t="s">
        <v>23</v>
      </c>
      <c r="C142" s="19"/>
      <c r="D142" s="9"/>
      <c r="E142" s="19"/>
      <c r="F142" s="19"/>
      <c r="G142" s="19"/>
      <c r="H142" s="19">
        <v>17.2</v>
      </c>
      <c r="I142" s="19"/>
      <c r="J142" s="19">
        <v>2.58</v>
      </c>
      <c r="K142" s="12" t="s">
        <v>16</v>
      </c>
      <c r="L142" s="48">
        <f t="shared" si="20"/>
        <v>0</v>
      </c>
      <c r="M142" s="10" t="s">
        <v>58</v>
      </c>
      <c r="N142" s="9" t="s">
        <v>207</v>
      </c>
      <c r="O142" s="10"/>
      <c r="P142" s="46"/>
    </row>
    <row r="143" spans="1:16" hidden="1" x14ac:dyDescent="0.2">
      <c r="A143" s="20">
        <v>9</v>
      </c>
      <c r="B143" s="12" t="s">
        <v>23</v>
      </c>
      <c r="C143" s="19">
        <v>5</v>
      </c>
      <c r="D143" s="9"/>
      <c r="E143" s="19"/>
      <c r="F143" s="19"/>
      <c r="G143" s="19"/>
      <c r="H143" s="19"/>
      <c r="I143" s="19"/>
      <c r="J143" s="19"/>
      <c r="K143" s="12" t="s">
        <v>16</v>
      </c>
      <c r="L143" s="48">
        <f t="shared" ref="L143" si="22">SUBTOTAL(9,C143:J143)</f>
        <v>0</v>
      </c>
      <c r="M143" s="10" t="s">
        <v>58</v>
      </c>
      <c r="N143" s="9" t="s">
        <v>228</v>
      </c>
      <c r="O143" s="10"/>
      <c r="P143" s="46"/>
    </row>
    <row r="144" spans="1:16" hidden="1" x14ac:dyDescent="0.2">
      <c r="A144" s="20">
        <v>9</v>
      </c>
      <c r="B144" s="12" t="s">
        <v>23</v>
      </c>
      <c r="C144" s="19">
        <f>12+3.5</f>
        <v>15.5</v>
      </c>
      <c r="D144" s="9"/>
      <c r="E144" s="19"/>
      <c r="F144" s="19"/>
      <c r="G144" s="19"/>
      <c r="H144" s="19">
        <v>4.25</v>
      </c>
      <c r="I144" s="19"/>
      <c r="J144" s="19">
        <v>2.96</v>
      </c>
      <c r="K144" s="12" t="s">
        <v>16</v>
      </c>
      <c r="L144" s="48">
        <f t="shared" ref="L144:L158" si="23">SUBTOTAL(9,C144:J144)</f>
        <v>0</v>
      </c>
      <c r="M144" s="10" t="s">
        <v>58</v>
      </c>
      <c r="N144" s="9" t="s">
        <v>229</v>
      </c>
      <c r="O144" s="10"/>
      <c r="P144" s="46"/>
    </row>
    <row r="145" spans="1:16" hidden="1" x14ac:dyDescent="0.2">
      <c r="A145" s="20">
        <v>9</v>
      </c>
      <c r="B145" s="12" t="s">
        <v>23</v>
      </c>
      <c r="C145" s="19">
        <v>19.7</v>
      </c>
      <c r="D145" s="9"/>
      <c r="E145" s="19"/>
      <c r="F145" s="19"/>
      <c r="G145" s="19"/>
      <c r="H145" s="19"/>
      <c r="I145" s="19"/>
      <c r="J145" s="19">
        <v>2.96</v>
      </c>
      <c r="K145" s="12" t="s">
        <v>16</v>
      </c>
      <c r="L145" s="48">
        <f t="shared" si="23"/>
        <v>0</v>
      </c>
      <c r="M145" s="10" t="s">
        <v>58</v>
      </c>
      <c r="N145" s="9" t="s">
        <v>149</v>
      </c>
      <c r="O145" s="10"/>
      <c r="P145" s="46"/>
    </row>
    <row r="146" spans="1:16" hidden="1" x14ac:dyDescent="0.2">
      <c r="A146" s="20">
        <v>9</v>
      </c>
      <c r="B146" s="12" t="s">
        <v>23</v>
      </c>
      <c r="C146" s="19">
        <v>6</v>
      </c>
      <c r="D146" s="9"/>
      <c r="E146" s="19"/>
      <c r="F146" s="19"/>
      <c r="G146" s="19"/>
      <c r="H146" s="19"/>
      <c r="I146" s="19"/>
      <c r="J146" s="19">
        <v>0.9</v>
      </c>
      <c r="K146" s="12" t="s">
        <v>16</v>
      </c>
      <c r="L146" s="48">
        <f t="shared" si="23"/>
        <v>0</v>
      </c>
      <c r="M146" s="10" t="s">
        <v>58</v>
      </c>
      <c r="N146" s="9" t="s">
        <v>109</v>
      </c>
      <c r="O146" s="10"/>
      <c r="P146" s="46"/>
    </row>
    <row r="147" spans="1:16" hidden="1" x14ac:dyDescent="0.2">
      <c r="A147" s="20">
        <v>9</v>
      </c>
      <c r="B147" s="12" t="s">
        <v>20</v>
      </c>
      <c r="C147" s="19">
        <f>194-21</f>
        <v>173</v>
      </c>
      <c r="D147" s="9"/>
      <c r="E147" s="19"/>
      <c r="F147" s="19"/>
      <c r="G147" s="19">
        <v>21</v>
      </c>
      <c r="H147" s="19"/>
      <c r="I147" s="19"/>
      <c r="J147" s="19">
        <v>23.28</v>
      </c>
      <c r="K147" s="12" t="s">
        <v>16</v>
      </c>
      <c r="L147" s="48">
        <f t="shared" si="23"/>
        <v>0</v>
      </c>
      <c r="M147" s="10" t="s">
        <v>58</v>
      </c>
      <c r="N147" s="9" t="s">
        <v>230</v>
      </c>
      <c r="O147" s="10"/>
      <c r="P147" s="46"/>
    </row>
    <row r="148" spans="1:16" hidden="1" x14ac:dyDescent="0.2">
      <c r="A148" s="20">
        <v>9</v>
      </c>
      <c r="B148" s="12" t="s">
        <v>23</v>
      </c>
      <c r="C148" s="19"/>
      <c r="D148" s="9"/>
      <c r="E148" s="19"/>
      <c r="F148" s="19"/>
      <c r="G148" s="19"/>
      <c r="H148" s="19">
        <v>23</v>
      </c>
      <c r="I148" s="19"/>
      <c r="J148" s="19"/>
      <c r="K148" s="12" t="s">
        <v>17</v>
      </c>
      <c r="L148" s="48">
        <f t="shared" si="23"/>
        <v>0</v>
      </c>
      <c r="M148" s="10" t="s">
        <v>60</v>
      </c>
      <c r="N148" s="9" t="s">
        <v>231</v>
      </c>
      <c r="O148" s="10"/>
      <c r="P148" s="46"/>
    </row>
    <row r="149" spans="1:16" hidden="1" x14ac:dyDescent="0.2">
      <c r="A149" s="20">
        <v>9</v>
      </c>
      <c r="B149" s="12" t="s">
        <v>23</v>
      </c>
      <c r="C149" s="19"/>
      <c r="D149" s="9"/>
      <c r="E149" s="19"/>
      <c r="F149" s="19"/>
      <c r="G149" s="19"/>
      <c r="H149" s="19">
        <v>30.99</v>
      </c>
      <c r="I149" s="19"/>
      <c r="J149" s="19"/>
      <c r="K149" s="12" t="s">
        <v>17</v>
      </c>
      <c r="L149" s="48">
        <f t="shared" si="23"/>
        <v>0</v>
      </c>
      <c r="M149" s="10" t="s">
        <v>60</v>
      </c>
      <c r="N149" s="9" t="s">
        <v>232</v>
      </c>
      <c r="O149" s="10"/>
      <c r="P149" s="46"/>
    </row>
    <row r="150" spans="1:16" hidden="1" x14ac:dyDescent="0.2">
      <c r="A150" s="20">
        <v>9</v>
      </c>
      <c r="B150" s="12" t="s">
        <v>23</v>
      </c>
      <c r="C150" s="19"/>
      <c r="D150" s="9"/>
      <c r="E150" s="19"/>
      <c r="F150" s="19"/>
      <c r="G150" s="19"/>
      <c r="H150" s="19">
        <v>30.99</v>
      </c>
      <c r="I150" s="19"/>
      <c r="J150" s="19"/>
      <c r="K150" s="12" t="s">
        <v>17</v>
      </c>
      <c r="L150" s="48">
        <f t="shared" si="23"/>
        <v>0</v>
      </c>
      <c r="M150" s="10" t="s">
        <v>60</v>
      </c>
      <c r="N150" s="9" t="s">
        <v>233</v>
      </c>
      <c r="O150" s="10"/>
      <c r="P150" s="46"/>
    </row>
    <row r="151" spans="1:16" hidden="1" x14ac:dyDescent="0.2">
      <c r="A151" s="20">
        <v>9</v>
      </c>
      <c r="B151" s="12" t="s">
        <v>23</v>
      </c>
      <c r="C151" s="19"/>
      <c r="D151" s="9"/>
      <c r="E151" s="19"/>
      <c r="F151" s="19"/>
      <c r="G151" s="19"/>
      <c r="H151" s="19">
        <v>23.98</v>
      </c>
      <c r="I151" s="19"/>
      <c r="J151" s="19"/>
      <c r="K151" s="12" t="s">
        <v>17</v>
      </c>
      <c r="L151" s="48">
        <f t="shared" si="23"/>
        <v>0</v>
      </c>
      <c r="M151" s="10" t="s">
        <v>60</v>
      </c>
      <c r="N151" s="9" t="s">
        <v>234</v>
      </c>
      <c r="O151" s="10"/>
      <c r="P151" s="46"/>
    </row>
    <row r="152" spans="1:16" hidden="1" x14ac:dyDescent="0.2">
      <c r="A152" s="20">
        <v>9</v>
      </c>
      <c r="B152" s="12" t="s">
        <v>23</v>
      </c>
      <c r="C152" s="19"/>
      <c r="D152" s="9"/>
      <c r="E152" s="19"/>
      <c r="F152" s="19"/>
      <c r="G152" s="19"/>
      <c r="H152" s="19">
        <v>23.98</v>
      </c>
      <c r="I152" s="19"/>
      <c r="J152" s="19"/>
      <c r="K152" s="12" t="s">
        <v>17</v>
      </c>
      <c r="L152" s="48">
        <f t="shared" si="23"/>
        <v>0</v>
      </c>
      <c r="M152" s="10" t="s">
        <v>60</v>
      </c>
      <c r="N152" s="9" t="s">
        <v>235</v>
      </c>
      <c r="O152" s="10"/>
      <c r="P152" s="46"/>
    </row>
    <row r="153" spans="1:16" hidden="1" x14ac:dyDescent="0.2">
      <c r="A153" s="20">
        <v>9</v>
      </c>
      <c r="B153" s="12" t="s">
        <v>23</v>
      </c>
      <c r="C153" s="19"/>
      <c r="D153" s="9"/>
      <c r="E153" s="19"/>
      <c r="F153" s="19"/>
      <c r="G153" s="19"/>
      <c r="H153" s="19">
        <v>15</v>
      </c>
      <c r="I153" s="19"/>
      <c r="J153" s="19"/>
      <c r="K153" s="12" t="s">
        <v>17</v>
      </c>
      <c r="L153" s="48">
        <f t="shared" si="23"/>
        <v>0</v>
      </c>
      <c r="M153" s="10" t="s">
        <v>60</v>
      </c>
      <c r="N153" s="9" t="s">
        <v>236</v>
      </c>
      <c r="O153" s="10"/>
      <c r="P153" s="46"/>
    </row>
    <row r="154" spans="1:16" hidden="1" x14ac:dyDescent="0.2">
      <c r="A154" s="20">
        <v>9</v>
      </c>
      <c r="B154" s="12" t="s">
        <v>23</v>
      </c>
      <c r="C154" s="19"/>
      <c r="D154" s="9"/>
      <c r="E154" s="19"/>
      <c r="F154" s="19"/>
      <c r="G154" s="19"/>
      <c r="H154" s="19">
        <v>6.95</v>
      </c>
      <c r="I154" s="19"/>
      <c r="J154" s="19"/>
      <c r="K154" s="12" t="s">
        <v>17</v>
      </c>
      <c r="L154" s="48">
        <f t="shared" si="23"/>
        <v>0</v>
      </c>
      <c r="M154" s="10" t="s">
        <v>60</v>
      </c>
      <c r="N154" s="9" t="s">
        <v>237</v>
      </c>
      <c r="O154" s="10"/>
      <c r="P154" s="46"/>
    </row>
    <row r="155" spans="1:16" hidden="1" x14ac:dyDescent="0.2">
      <c r="A155" s="20">
        <v>9</v>
      </c>
      <c r="B155" s="12" t="s">
        <v>23</v>
      </c>
      <c r="C155" s="19"/>
      <c r="D155" s="9"/>
      <c r="E155" s="19"/>
      <c r="F155" s="19"/>
      <c r="G155" s="19"/>
      <c r="H155" s="19">
        <v>6.95</v>
      </c>
      <c r="I155" s="19"/>
      <c r="J155" s="19"/>
      <c r="K155" s="12" t="s">
        <v>17</v>
      </c>
      <c r="L155" s="48">
        <f t="shared" si="23"/>
        <v>0</v>
      </c>
      <c r="M155" s="10" t="s">
        <v>60</v>
      </c>
      <c r="N155" s="9" t="s">
        <v>238</v>
      </c>
      <c r="O155" s="10"/>
      <c r="P155" s="46"/>
    </row>
    <row r="156" spans="1:16" hidden="1" x14ac:dyDescent="0.2">
      <c r="A156" s="20">
        <v>9</v>
      </c>
      <c r="B156" s="12" t="s">
        <v>23</v>
      </c>
      <c r="C156" s="19"/>
      <c r="D156" s="9"/>
      <c r="E156" s="19"/>
      <c r="F156" s="19"/>
      <c r="G156" s="19"/>
      <c r="H156" s="19">
        <v>15.49</v>
      </c>
      <c r="I156" s="19"/>
      <c r="J156" s="19"/>
      <c r="K156" s="12" t="s">
        <v>17</v>
      </c>
      <c r="L156" s="48">
        <f t="shared" si="23"/>
        <v>0</v>
      </c>
      <c r="M156" s="10" t="s">
        <v>60</v>
      </c>
      <c r="N156" s="9" t="s">
        <v>239</v>
      </c>
      <c r="O156" s="10"/>
      <c r="P156" s="46"/>
    </row>
    <row r="157" spans="1:16" hidden="1" x14ac:dyDescent="0.2">
      <c r="A157" s="20">
        <v>9</v>
      </c>
      <c r="B157" s="12" t="s">
        <v>23</v>
      </c>
      <c r="C157" s="19"/>
      <c r="D157" s="9"/>
      <c r="E157" s="19"/>
      <c r="F157" s="19"/>
      <c r="G157" s="19"/>
      <c r="H157" s="19">
        <v>15.49</v>
      </c>
      <c r="I157" s="19"/>
      <c r="J157" s="19"/>
      <c r="K157" s="12" t="s">
        <v>17</v>
      </c>
      <c r="L157" s="48">
        <f t="shared" si="23"/>
        <v>0</v>
      </c>
      <c r="M157" s="10" t="s">
        <v>60</v>
      </c>
      <c r="N157" s="9" t="s">
        <v>240</v>
      </c>
      <c r="O157" s="10"/>
      <c r="P157" s="46"/>
    </row>
    <row r="158" spans="1:16" hidden="1" x14ac:dyDescent="0.2">
      <c r="A158" s="20">
        <v>9</v>
      </c>
      <c r="B158" s="12" t="s">
        <v>23</v>
      </c>
      <c r="C158" s="19"/>
      <c r="D158" s="9"/>
      <c r="E158" s="19"/>
      <c r="F158" s="19"/>
      <c r="G158" s="19"/>
      <c r="H158" s="19">
        <v>8</v>
      </c>
      <c r="I158" s="19"/>
      <c r="J158" s="19"/>
      <c r="K158" s="12" t="s">
        <v>17</v>
      </c>
      <c r="L158" s="48">
        <f t="shared" si="23"/>
        <v>0</v>
      </c>
      <c r="M158" s="10" t="s">
        <v>60</v>
      </c>
      <c r="N158" s="9" t="s">
        <v>241</v>
      </c>
      <c r="O158" s="10"/>
      <c r="P158" s="46"/>
    </row>
    <row r="159" spans="1:16" hidden="1" x14ac:dyDescent="0.2">
      <c r="A159" s="20">
        <v>9</v>
      </c>
      <c r="B159" s="12" t="s">
        <v>23</v>
      </c>
      <c r="C159" s="19"/>
      <c r="D159" s="9"/>
      <c r="E159" s="19"/>
      <c r="F159" s="19"/>
      <c r="G159" s="19"/>
      <c r="H159" s="19">
        <v>8</v>
      </c>
      <c r="I159" s="19"/>
      <c r="J159" s="19"/>
      <c r="K159" s="12" t="s">
        <v>17</v>
      </c>
      <c r="L159" s="48">
        <f t="shared" ref="L159:L169" si="24">SUBTOTAL(9,C159:J159)</f>
        <v>0</v>
      </c>
      <c r="M159" s="10" t="s">
        <v>60</v>
      </c>
      <c r="N159" s="9" t="s">
        <v>242</v>
      </c>
      <c r="O159" s="10"/>
      <c r="P159" s="46"/>
    </row>
    <row r="160" spans="1:16" hidden="1" x14ac:dyDescent="0.2">
      <c r="A160" s="20">
        <v>9</v>
      </c>
      <c r="B160" s="12" t="s">
        <v>23</v>
      </c>
      <c r="C160" s="19"/>
      <c r="D160" s="9"/>
      <c r="E160" s="19"/>
      <c r="F160" s="19"/>
      <c r="G160" s="19"/>
      <c r="H160" s="19">
        <v>8</v>
      </c>
      <c r="I160" s="19"/>
      <c r="J160" s="19"/>
      <c r="K160" s="12" t="s">
        <v>17</v>
      </c>
      <c r="L160" s="48">
        <f t="shared" si="24"/>
        <v>0</v>
      </c>
      <c r="M160" s="10" t="s">
        <v>60</v>
      </c>
      <c r="N160" s="9" t="s">
        <v>243</v>
      </c>
      <c r="O160" s="10"/>
      <c r="P160" s="46"/>
    </row>
    <row r="161" spans="1:16" hidden="1" x14ac:dyDescent="0.2">
      <c r="A161" s="20">
        <v>9</v>
      </c>
      <c r="B161" s="12" t="s">
        <v>23</v>
      </c>
      <c r="C161" s="19"/>
      <c r="D161" s="9"/>
      <c r="E161" s="19"/>
      <c r="F161" s="19"/>
      <c r="G161" s="19"/>
      <c r="H161" s="19">
        <v>8</v>
      </c>
      <c r="I161" s="19"/>
      <c r="J161" s="19"/>
      <c r="K161" s="12" t="s">
        <v>17</v>
      </c>
      <c r="L161" s="48">
        <f t="shared" si="24"/>
        <v>0</v>
      </c>
      <c r="M161" s="10" t="s">
        <v>60</v>
      </c>
      <c r="N161" s="9" t="s">
        <v>244</v>
      </c>
      <c r="O161" s="10"/>
      <c r="P161" s="46"/>
    </row>
    <row r="162" spans="1:16" hidden="1" x14ac:dyDescent="0.2">
      <c r="A162" s="20">
        <v>9</v>
      </c>
      <c r="B162" s="12" t="s">
        <v>23</v>
      </c>
      <c r="C162" s="19"/>
      <c r="D162" s="9"/>
      <c r="E162" s="19"/>
      <c r="F162" s="19"/>
      <c r="G162" s="19"/>
      <c r="H162" s="19">
        <v>8.5</v>
      </c>
      <c r="I162" s="19"/>
      <c r="J162" s="19"/>
      <c r="K162" s="12" t="s">
        <v>17</v>
      </c>
      <c r="L162" s="48">
        <f t="shared" si="24"/>
        <v>0</v>
      </c>
      <c r="M162" s="10" t="s">
        <v>60</v>
      </c>
      <c r="N162" s="9" t="s">
        <v>245</v>
      </c>
      <c r="O162" s="10"/>
      <c r="P162" s="46"/>
    </row>
    <row r="163" spans="1:16" hidden="1" x14ac:dyDescent="0.2">
      <c r="A163" s="20">
        <v>9</v>
      </c>
      <c r="B163" s="12" t="s">
        <v>23</v>
      </c>
      <c r="C163" s="19">
        <v>11</v>
      </c>
      <c r="D163" s="9"/>
      <c r="E163" s="19"/>
      <c r="F163" s="19"/>
      <c r="G163" s="19"/>
      <c r="H163" s="19"/>
      <c r="I163" s="19"/>
      <c r="J163" s="19">
        <v>1.65</v>
      </c>
      <c r="K163" s="12" t="s">
        <v>17</v>
      </c>
      <c r="L163" s="48">
        <f t="shared" si="24"/>
        <v>0</v>
      </c>
      <c r="M163" s="10" t="s">
        <v>60</v>
      </c>
      <c r="N163" s="9" t="s">
        <v>246</v>
      </c>
      <c r="O163" s="10"/>
      <c r="P163" s="46"/>
    </row>
    <row r="164" spans="1:16" hidden="1" x14ac:dyDescent="0.2">
      <c r="A164" s="20">
        <v>9</v>
      </c>
      <c r="B164" s="12" t="s">
        <v>23</v>
      </c>
      <c r="C164" s="19"/>
      <c r="D164" s="9"/>
      <c r="E164" s="19"/>
      <c r="F164" s="19"/>
      <c r="G164" s="19"/>
      <c r="H164" s="19">
        <v>30.74</v>
      </c>
      <c r="I164" s="19"/>
      <c r="J164" s="19"/>
      <c r="K164" s="12" t="s">
        <v>17</v>
      </c>
      <c r="L164" s="48">
        <f t="shared" si="24"/>
        <v>0</v>
      </c>
      <c r="M164" s="10" t="s">
        <v>60</v>
      </c>
      <c r="N164" s="9" t="s">
        <v>247</v>
      </c>
      <c r="O164" s="10"/>
      <c r="P164" s="46"/>
    </row>
    <row r="165" spans="1:16" hidden="1" x14ac:dyDescent="0.2">
      <c r="A165" s="20">
        <v>9</v>
      </c>
      <c r="B165" s="12" t="s">
        <v>20</v>
      </c>
      <c r="C165" s="19"/>
      <c r="D165" s="9"/>
      <c r="E165" s="19">
        <v>11</v>
      </c>
      <c r="F165" s="19">
        <v>14</v>
      </c>
      <c r="G165" s="19"/>
      <c r="H165" s="19"/>
      <c r="I165" s="19"/>
      <c r="J165" s="19">
        <v>3.75</v>
      </c>
      <c r="K165" s="12" t="s">
        <v>17</v>
      </c>
      <c r="L165" s="48">
        <f t="shared" si="24"/>
        <v>0</v>
      </c>
      <c r="M165" s="10" t="s">
        <v>60</v>
      </c>
      <c r="N165" s="9" t="s">
        <v>248</v>
      </c>
      <c r="O165" s="10"/>
      <c r="P165" s="46"/>
    </row>
    <row r="166" spans="1:16" hidden="1" x14ac:dyDescent="0.2">
      <c r="A166" s="20">
        <v>10</v>
      </c>
      <c r="B166" s="12" t="s">
        <v>20</v>
      </c>
      <c r="C166" s="19">
        <f>44+38</f>
        <v>82</v>
      </c>
      <c r="D166" s="9"/>
      <c r="E166" s="19"/>
      <c r="F166" s="19"/>
      <c r="G166" s="19"/>
      <c r="H166" s="19"/>
      <c r="I166" s="19"/>
      <c r="J166" s="19">
        <v>11.31</v>
      </c>
      <c r="K166" s="12" t="s">
        <v>16</v>
      </c>
      <c r="L166" s="48">
        <f t="shared" si="24"/>
        <v>0</v>
      </c>
      <c r="M166" s="10" t="s">
        <v>58</v>
      </c>
      <c r="N166" s="9" t="s">
        <v>249</v>
      </c>
      <c r="O166" s="10"/>
      <c r="P166" s="46"/>
    </row>
    <row r="167" spans="1:16" hidden="1" x14ac:dyDescent="0.2">
      <c r="A167" s="20">
        <v>10</v>
      </c>
      <c r="B167" s="12" t="s">
        <v>20</v>
      </c>
      <c r="C167" s="19">
        <f>60+42+38+15+29+135+23+7+12</f>
        <v>361</v>
      </c>
      <c r="D167" s="9"/>
      <c r="E167" s="19"/>
      <c r="F167" s="19"/>
      <c r="G167" s="19">
        <v>35</v>
      </c>
      <c r="H167" s="19"/>
      <c r="I167" s="19"/>
      <c r="J167" s="19">
        <v>47.52</v>
      </c>
      <c r="K167" s="12" t="s">
        <v>16</v>
      </c>
      <c r="L167" s="48">
        <f t="shared" si="24"/>
        <v>0</v>
      </c>
      <c r="M167" s="10" t="s">
        <v>58</v>
      </c>
      <c r="N167" s="9" t="s">
        <v>175</v>
      </c>
      <c r="O167" s="10"/>
      <c r="P167" s="46"/>
    </row>
    <row r="168" spans="1:16" hidden="1" x14ac:dyDescent="0.2">
      <c r="A168" s="20">
        <v>10</v>
      </c>
      <c r="B168" s="12" t="s">
        <v>23</v>
      </c>
      <c r="C168" s="19">
        <f>25.9+12.95</f>
        <v>38.849999999999994</v>
      </c>
      <c r="D168" s="9"/>
      <c r="E168" s="19"/>
      <c r="F168" s="19"/>
      <c r="G168" s="19"/>
      <c r="H168" s="19">
        <f>5+4.25</f>
        <v>9.25</v>
      </c>
      <c r="I168" s="19"/>
      <c r="J168" s="19">
        <v>7.21</v>
      </c>
      <c r="K168" s="12" t="s">
        <v>16</v>
      </c>
      <c r="L168" s="48">
        <f t="shared" si="24"/>
        <v>0</v>
      </c>
      <c r="M168" s="10" t="s">
        <v>58</v>
      </c>
      <c r="N168" s="9" t="s">
        <v>250</v>
      </c>
      <c r="O168" s="10"/>
      <c r="P168" s="46"/>
    </row>
    <row r="169" spans="1:16" hidden="1" x14ac:dyDescent="0.2">
      <c r="A169" s="20">
        <v>10</v>
      </c>
      <c r="B169" s="12" t="s">
        <v>23</v>
      </c>
      <c r="C169" s="19">
        <v>11.25</v>
      </c>
      <c r="D169" s="9"/>
      <c r="E169" s="19"/>
      <c r="F169" s="19"/>
      <c r="G169" s="19"/>
      <c r="H169" s="19"/>
      <c r="I169" s="19"/>
      <c r="J169" s="19"/>
      <c r="K169" s="12" t="s">
        <v>16</v>
      </c>
      <c r="L169" s="48">
        <f t="shared" si="24"/>
        <v>0</v>
      </c>
      <c r="M169" s="10" t="s">
        <v>58</v>
      </c>
      <c r="N169" s="9" t="s">
        <v>251</v>
      </c>
      <c r="O169" s="10"/>
      <c r="P169" s="46"/>
    </row>
    <row r="170" spans="1:16" hidden="1" x14ac:dyDescent="0.2">
      <c r="A170" s="12">
        <v>10</v>
      </c>
      <c r="B170" s="12" t="s">
        <v>20</v>
      </c>
      <c r="C170" s="19">
        <f>12+1</f>
        <v>13</v>
      </c>
      <c r="D170" s="9"/>
      <c r="E170" s="19"/>
      <c r="F170" s="19"/>
      <c r="G170" s="19"/>
      <c r="H170" s="19"/>
      <c r="I170" s="19"/>
      <c r="J170" s="19">
        <v>1.95</v>
      </c>
      <c r="K170" s="12" t="s">
        <v>16</v>
      </c>
      <c r="L170" s="35">
        <f>SUBTOTAL(9,C170:J170)</f>
        <v>0</v>
      </c>
      <c r="M170" s="10" t="s">
        <v>58</v>
      </c>
      <c r="N170" s="9" t="s">
        <v>229</v>
      </c>
      <c r="O170" s="10"/>
      <c r="P170" s="9"/>
    </row>
    <row r="171" spans="1:16" hidden="1" x14ac:dyDescent="0.2">
      <c r="A171" s="12">
        <v>10</v>
      </c>
      <c r="B171" s="12" t="s">
        <v>23</v>
      </c>
      <c r="C171" s="19">
        <f>12.95+2.5</f>
        <v>15.45</v>
      </c>
      <c r="D171" s="9"/>
      <c r="E171" s="19"/>
      <c r="F171" s="19"/>
      <c r="G171" s="19"/>
      <c r="H171" s="19">
        <v>4.25</v>
      </c>
      <c r="I171" s="19"/>
      <c r="J171" s="19">
        <v>2.96</v>
      </c>
      <c r="K171" s="12" t="s">
        <v>16</v>
      </c>
      <c r="L171" s="35">
        <f t="shared" ref="L171:L205" si="25">SUBTOTAL(9,C171:J171)</f>
        <v>0</v>
      </c>
      <c r="M171" s="10" t="s">
        <v>58</v>
      </c>
      <c r="N171" s="9" t="s">
        <v>252</v>
      </c>
      <c r="O171" s="10"/>
      <c r="P171" s="9"/>
    </row>
    <row r="172" spans="1:16" hidden="1" x14ac:dyDescent="0.2">
      <c r="A172" s="12">
        <v>10</v>
      </c>
      <c r="B172" s="12" t="s">
        <v>23</v>
      </c>
      <c r="C172" s="19">
        <v>6</v>
      </c>
      <c r="D172" s="9"/>
      <c r="E172" s="19"/>
      <c r="F172" s="19"/>
      <c r="G172" s="19"/>
      <c r="H172" s="19"/>
      <c r="I172" s="19"/>
      <c r="J172" s="19">
        <v>0.9</v>
      </c>
      <c r="K172" s="12" t="s">
        <v>16</v>
      </c>
      <c r="L172" s="35">
        <f t="shared" si="25"/>
        <v>0</v>
      </c>
      <c r="M172" s="10" t="s">
        <v>58</v>
      </c>
      <c r="N172" s="9" t="s">
        <v>253</v>
      </c>
      <c r="O172" s="10"/>
      <c r="P172" s="9"/>
    </row>
    <row r="173" spans="1:16" hidden="1" x14ac:dyDescent="0.2">
      <c r="A173" s="12">
        <v>10</v>
      </c>
      <c r="B173" s="12" t="s">
        <v>23</v>
      </c>
      <c r="C173" s="19">
        <v>14.25</v>
      </c>
      <c r="D173" s="9"/>
      <c r="E173" s="19"/>
      <c r="F173" s="19"/>
      <c r="G173" s="19"/>
      <c r="H173" s="19"/>
      <c r="I173" s="19"/>
      <c r="J173" s="19">
        <v>1.75</v>
      </c>
      <c r="K173" s="12" t="s">
        <v>16</v>
      </c>
      <c r="L173" s="35">
        <f t="shared" si="25"/>
        <v>0</v>
      </c>
      <c r="M173" s="10" t="s">
        <v>58</v>
      </c>
      <c r="N173" s="9" t="s">
        <v>112</v>
      </c>
      <c r="O173" s="10"/>
      <c r="P173" s="9"/>
    </row>
    <row r="174" spans="1:16" hidden="1" x14ac:dyDescent="0.2">
      <c r="A174" s="12">
        <v>10</v>
      </c>
      <c r="B174" s="12" t="s">
        <v>23</v>
      </c>
      <c r="C174" s="19">
        <v>12.95</v>
      </c>
      <c r="D174" s="9"/>
      <c r="E174" s="19"/>
      <c r="F174" s="19"/>
      <c r="G174" s="19"/>
      <c r="H174" s="19"/>
      <c r="I174" s="19"/>
      <c r="J174" s="19">
        <v>1.94</v>
      </c>
      <c r="K174" s="12" t="s">
        <v>16</v>
      </c>
      <c r="L174" s="35">
        <f t="shared" si="25"/>
        <v>0</v>
      </c>
      <c r="M174" s="10" t="s">
        <v>58</v>
      </c>
      <c r="N174" s="9" t="s">
        <v>254</v>
      </c>
      <c r="O174" s="10"/>
      <c r="P174" s="9"/>
    </row>
    <row r="175" spans="1:16" hidden="1" x14ac:dyDescent="0.2">
      <c r="A175" s="20">
        <v>10</v>
      </c>
      <c r="B175" s="12" t="s">
        <v>20</v>
      </c>
      <c r="C175" s="19">
        <f>47+26+11</f>
        <v>84</v>
      </c>
      <c r="D175" s="9">
        <v>8</v>
      </c>
      <c r="E175" s="19"/>
      <c r="F175" s="19">
        <v>84</v>
      </c>
      <c r="G175" s="19"/>
      <c r="H175" s="19"/>
      <c r="I175" s="19"/>
      <c r="J175" s="19">
        <v>26.4</v>
      </c>
      <c r="K175" s="12" t="s">
        <v>17</v>
      </c>
      <c r="L175" s="48">
        <f t="shared" si="25"/>
        <v>0</v>
      </c>
      <c r="M175" s="10" t="s">
        <v>60</v>
      </c>
      <c r="N175" s="9" t="s">
        <v>255</v>
      </c>
      <c r="O175" s="10"/>
      <c r="P175" s="9"/>
    </row>
    <row r="176" spans="1:16" hidden="1" x14ac:dyDescent="0.2">
      <c r="A176" s="12">
        <v>10</v>
      </c>
      <c r="B176" s="12" t="s">
        <v>20</v>
      </c>
      <c r="C176" s="19">
        <f>24+30+69+58+60+3.5+6</f>
        <v>250.5</v>
      </c>
      <c r="D176" s="9"/>
      <c r="E176" s="19"/>
      <c r="F176" s="19"/>
      <c r="G176" s="19">
        <f>8.5+8.5+8.5+7+14</f>
        <v>46.5</v>
      </c>
      <c r="H176" s="19"/>
      <c r="I176" s="19"/>
      <c r="J176" s="19">
        <v>44.55</v>
      </c>
      <c r="K176" s="12" t="s">
        <v>17</v>
      </c>
      <c r="L176" s="35">
        <f t="shared" si="25"/>
        <v>0</v>
      </c>
      <c r="M176" s="10" t="s">
        <v>60</v>
      </c>
      <c r="N176" s="9" t="s">
        <v>256</v>
      </c>
      <c r="O176" s="10"/>
      <c r="P176" s="9"/>
    </row>
    <row r="177" spans="1:16" hidden="1" x14ac:dyDescent="0.2">
      <c r="A177" s="12">
        <v>10</v>
      </c>
      <c r="B177" s="12" t="s">
        <v>23</v>
      </c>
      <c r="C177" s="19"/>
      <c r="D177" s="9"/>
      <c r="E177" s="19"/>
      <c r="F177" s="19"/>
      <c r="G177" s="19"/>
      <c r="H177" s="19">
        <f>2.99+2.99+5.75+4.25+4+2.95</f>
        <v>22.93</v>
      </c>
      <c r="I177" s="19"/>
      <c r="J177" s="19"/>
      <c r="K177" s="12" t="s">
        <v>17</v>
      </c>
      <c r="L177" s="35">
        <f t="shared" si="25"/>
        <v>0</v>
      </c>
      <c r="M177" s="10" t="s">
        <v>60</v>
      </c>
      <c r="N177" s="9" t="s">
        <v>257</v>
      </c>
      <c r="O177" s="10"/>
      <c r="P177" s="9"/>
    </row>
    <row r="178" spans="1:16" hidden="1" x14ac:dyDescent="0.2">
      <c r="A178" s="12">
        <v>10</v>
      </c>
      <c r="B178" s="12" t="s">
        <v>23</v>
      </c>
      <c r="C178" s="19"/>
      <c r="D178" s="9"/>
      <c r="E178" s="19"/>
      <c r="F178" s="19"/>
      <c r="G178" s="19"/>
      <c r="H178" s="19">
        <f>4+2.95</f>
        <v>6.95</v>
      </c>
      <c r="I178" s="19"/>
      <c r="J178" s="19"/>
      <c r="K178" s="12" t="s">
        <v>17</v>
      </c>
      <c r="L178" s="35">
        <f t="shared" si="25"/>
        <v>0</v>
      </c>
      <c r="M178" s="10" t="s">
        <v>60</v>
      </c>
      <c r="N178" s="9" t="s">
        <v>258</v>
      </c>
      <c r="O178" s="10"/>
      <c r="P178" s="9"/>
    </row>
    <row r="179" spans="1:16" hidden="1" x14ac:dyDescent="0.2">
      <c r="A179" s="12">
        <v>10</v>
      </c>
      <c r="B179" s="12" t="s">
        <v>23</v>
      </c>
      <c r="C179" s="19"/>
      <c r="D179" s="9"/>
      <c r="E179" s="19"/>
      <c r="F179" s="19"/>
      <c r="G179" s="19"/>
      <c r="H179" s="19">
        <v>13.24</v>
      </c>
      <c r="I179" s="19"/>
      <c r="J179" s="19"/>
      <c r="K179" s="12" t="s">
        <v>17</v>
      </c>
      <c r="L179" s="35">
        <f t="shared" si="25"/>
        <v>0</v>
      </c>
      <c r="M179" s="10" t="s">
        <v>60</v>
      </c>
      <c r="N179" s="9" t="s">
        <v>259</v>
      </c>
      <c r="O179" s="10"/>
      <c r="P179" s="9"/>
    </row>
    <row r="180" spans="1:16" hidden="1" x14ac:dyDescent="0.2">
      <c r="A180" s="12">
        <v>10</v>
      </c>
      <c r="B180" s="12" t="s">
        <v>23</v>
      </c>
      <c r="C180" s="19"/>
      <c r="D180" s="9"/>
      <c r="E180" s="19"/>
      <c r="F180" s="19"/>
      <c r="G180" s="19"/>
      <c r="H180" s="19">
        <v>37.5</v>
      </c>
      <c r="I180" s="19"/>
      <c r="J180" s="19"/>
      <c r="K180" s="12" t="s">
        <v>17</v>
      </c>
      <c r="L180" s="35">
        <f t="shared" si="25"/>
        <v>0</v>
      </c>
      <c r="M180" s="10" t="s">
        <v>60</v>
      </c>
      <c r="N180" s="9" t="s">
        <v>260</v>
      </c>
      <c r="O180" s="10"/>
      <c r="P180" s="9"/>
    </row>
    <row r="181" spans="1:16" hidden="1" x14ac:dyDescent="0.2">
      <c r="A181" s="12">
        <v>10</v>
      </c>
      <c r="B181" s="12" t="s">
        <v>23</v>
      </c>
      <c r="C181" s="19"/>
      <c r="D181" s="9"/>
      <c r="E181" s="19"/>
      <c r="F181" s="19"/>
      <c r="G181" s="19"/>
      <c r="H181" s="19">
        <v>51.48</v>
      </c>
      <c r="I181" s="19"/>
      <c r="J181" s="19"/>
      <c r="K181" s="12" t="s">
        <v>17</v>
      </c>
      <c r="L181" s="35">
        <f t="shared" si="25"/>
        <v>0</v>
      </c>
      <c r="M181" s="10" t="s">
        <v>60</v>
      </c>
      <c r="N181" s="9" t="s">
        <v>261</v>
      </c>
      <c r="O181" s="10"/>
      <c r="P181" s="9"/>
    </row>
    <row r="182" spans="1:16" hidden="1" x14ac:dyDescent="0.2">
      <c r="A182" s="12">
        <v>10</v>
      </c>
      <c r="B182" s="12" t="s">
        <v>23</v>
      </c>
      <c r="C182" s="19"/>
      <c r="D182" s="9"/>
      <c r="E182" s="19"/>
      <c r="F182" s="19"/>
      <c r="G182" s="19"/>
      <c r="H182" s="19">
        <v>51.48</v>
      </c>
      <c r="I182" s="19"/>
      <c r="J182" s="19"/>
      <c r="K182" s="12" t="s">
        <v>17</v>
      </c>
      <c r="L182" s="35">
        <f t="shared" si="25"/>
        <v>0</v>
      </c>
      <c r="M182" s="10" t="s">
        <v>60</v>
      </c>
      <c r="N182" s="9" t="s">
        <v>262</v>
      </c>
      <c r="O182" s="10"/>
      <c r="P182" s="9"/>
    </row>
    <row r="183" spans="1:16" hidden="1" x14ac:dyDescent="0.2">
      <c r="A183" s="12">
        <v>10</v>
      </c>
      <c r="B183" s="12" t="s">
        <v>23</v>
      </c>
      <c r="C183" s="19"/>
      <c r="D183" s="9"/>
      <c r="E183" s="19"/>
      <c r="F183" s="19"/>
      <c r="G183" s="19"/>
      <c r="H183" s="19">
        <v>51.48</v>
      </c>
      <c r="I183" s="19"/>
      <c r="J183" s="19"/>
      <c r="K183" s="12" t="s">
        <v>17</v>
      </c>
      <c r="L183" s="35">
        <f t="shared" si="25"/>
        <v>0</v>
      </c>
      <c r="M183" s="10" t="s">
        <v>60</v>
      </c>
      <c r="N183" s="9" t="s">
        <v>263</v>
      </c>
      <c r="O183" s="10"/>
      <c r="P183" s="9"/>
    </row>
    <row r="184" spans="1:16" hidden="1" x14ac:dyDescent="0.2">
      <c r="A184" s="12">
        <v>10</v>
      </c>
      <c r="B184" s="12" t="s">
        <v>23</v>
      </c>
      <c r="C184" s="19"/>
      <c r="D184" s="9"/>
      <c r="E184" s="19"/>
      <c r="F184" s="19"/>
      <c r="G184" s="19"/>
      <c r="H184" s="19">
        <v>51.48</v>
      </c>
      <c r="I184" s="19"/>
      <c r="J184" s="19"/>
      <c r="K184" s="12" t="s">
        <v>17</v>
      </c>
      <c r="L184" s="35">
        <f t="shared" si="25"/>
        <v>0</v>
      </c>
      <c r="M184" s="10" t="s">
        <v>60</v>
      </c>
      <c r="N184" s="9" t="s">
        <v>264</v>
      </c>
      <c r="O184" s="10"/>
      <c r="P184" s="9"/>
    </row>
    <row r="185" spans="1:16" hidden="1" x14ac:dyDescent="0.2">
      <c r="A185" s="12">
        <v>10</v>
      </c>
      <c r="B185" s="12" t="s">
        <v>23</v>
      </c>
      <c r="C185" s="19"/>
      <c r="D185" s="9"/>
      <c r="E185" s="19"/>
      <c r="F185" s="19"/>
      <c r="G185" s="19"/>
      <c r="H185" s="19">
        <v>35.5</v>
      </c>
      <c r="I185" s="19"/>
      <c r="J185" s="19"/>
      <c r="K185" s="12" t="s">
        <v>17</v>
      </c>
      <c r="L185" s="35">
        <f t="shared" si="25"/>
        <v>0</v>
      </c>
      <c r="M185" s="10" t="s">
        <v>60</v>
      </c>
      <c r="N185" s="9" t="s">
        <v>265</v>
      </c>
      <c r="O185" s="10"/>
      <c r="P185" s="9"/>
    </row>
    <row r="186" spans="1:16" hidden="1" x14ac:dyDescent="0.2">
      <c r="A186" s="12">
        <v>10</v>
      </c>
      <c r="B186" s="12" t="s">
        <v>23</v>
      </c>
      <c r="C186" s="19"/>
      <c r="D186" s="9"/>
      <c r="E186" s="19"/>
      <c r="F186" s="19"/>
      <c r="G186" s="19"/>
      <c r="H186" s="19">
        <v>35.5</v>
      </c>
      <c r="I186" s="19"/>
      <c r="J186" s="19"/>
      <c r="K186" s="12" t="s">
        <v>17</v>
      </c>
      <c r="L186" s="35">
        <f t="shared" si="25"/>
        <v>0</v>
      </c>
      <c r="M186" s="10" t="s">
        <v>60</v>
      </c>
      <c r="N186" s="9" t="s">
        <v>266</v>
      </c>
      <c r="O186" s="10"/>
      <c r="P186" s="9"/>
    </row>
    <row r="187" spans="1:16" hidden="1" x14ac:dyDescent="0.2">
      <c r="A187" s="12">
        <v>10</v>
      </c>
      <c r="B187" s="12" t="s">
        <v>23</v>
      </c>
      <c r="C187" s="19"/>
      <c r="D187" s="9"/>
      <c r="E187" s="19"/>
      <c r="F187" s="19"/>
      <c r="G187" s="19"/>
      <c r="H187" s="19">
        <v>35.5</v>
      </c>
      <c r="I187" s="19"/>
      <c r="J187" s="19"/>
      <c r="K187" s="12" t="s">
        <v>17</v>
      </c>
      <c r="L187" s="35">
        <f t="shared" si="25"/>
        <v>0</v>
      </c>
      <c r="M187" s="10" t="s">
        <v>60</v>
      </c>
      <c r="N187" s="9" t="s">
        <v>267</v>
      </c>
      <c r="O187" s="10"/>
      <c r="P187" s="9"/>
    </row>
    <row r="188" spans="1:16" hidden="1" x14ac:dyDescent="0.2">
      <c r="A188" s="12">
        <v>10</v>
      </c>
      <c r="B188" s="12" t="s">
        <v>23</v>
      </c>
      <c r="C188" s="19"/>
      <c r="D188" s="9"/>
      <c r="E188" s="19"/>
      <c r="F188" s="19"/>
      <c r="G188" s="19"/>
      <c r="H188" s="19">
        <v>35.5</v>
      </c>
      <c r="I188" s="19"/>
      <c r="J188" s="19"/>
      <c r="K188" s="12" t="s">
        <v>17</v>
      </c>
      <c r="L188" s="35">
        <f t="shared" si="25"/>
        <v>0</v>
      </c>
      <c r="M188" s="10" t="s">
        <v>60</v>
      </c>
      <c r="N188" s="9" t="s">
        <v>268</v>
      </c>
      <c r="O188" s="10"/>
      <c r="P188" s="9"/>
    </row>
    <row r="189" spans="1:16" hidden="1" x14ac:dyDescent="0.2">
      <c r="A189" s="12">
        <v>10</v>
      </c>
      <c r="B189" s="12" t="s">
        <v>23</v>
      </c>
      <c r="C189" s="19"/>
      <c r="D189" s="9"/>
      <c r="E189" s="19"/>
      <c r="F189" s="19"/>
      <c r="G189" s="19"/>
      <c r="H189" s="19">
        <v>35.5</v>
      </c>
      <c r="I189" s="19"/>
      <c r="J189" s="19"/>
      <c r="K189" s="12" t="s">
        <v>17</v>
      </c>
      <c r="L189" s="35">
        <f t="shared" si="25"/>
        <v>0</v>
      </c>
      <c r="M189" s="10" t="s">
        <v>60</v>
      </c>
      <c r="N189" s="9" t="s">
        <v>269</v>
      </c>
      <c r="O189" s="10"/>
      <c r="P189" s="9"/>
    </row>
    <row r="190" spans="1:16" hidden="1" x14ac:dyDescent="0.2">
      <c r="A190" s="12">
        <v>10</v>
      </c>
      <c r="B190" s="12" t="s">
        <v>23</v>
      </c>
      <c r="C190" s="19"/>
      <c r="D190" s="9"/>
      <c r="E190" s="19"/>
      <c r="F190" s="19"/>
      <c r="G190" s="19"/>
      <c r="H190" s="19">
        <v>35.5</v>
      </c>
      <c r="I190" s="19"/>
      <c r="J190" s="19"/>
      <c r="K190" s="12" t="s">
        <v>17</v>
      </c>
      <c r="L190" s="35">
        <f t="shared" si="25"/>
        <v>0</v>
      </c>
      <c r="M190" s="10" t="s">
        <v>60</v>
      </c>
      <c r="N190" s="9" t="s">
        <v>270</v>
      </c>
      <c r="O190" s="10"/>
      <c r="P190" s="9"/>
    </row>
    <row r="191" spans="1:16" hidden="1" x14ac:dyDescent="0.2">
      <c r="A191" s="12">
        <v>10</v>
      </c>
      <c r="B191" s="12" t="s">
        <v>23</v>
      </c>
      <c r="C191" s="19"/>
      <c r="D191" s="9"/>
      <c r="E191" s="19"/>
      <c r="F191" s="19"/>
      <c r="G191" s="19"/>
      <c r="H191" s="19">
        <v>37.5</v>
      </c>
      <c r="I191" s="19"/>
      <c r="J191" s="19"/>
      <c r="K191" s="12" t="s">
        <v>17</v>
      </c>
      <c r="L191" s="35">
        <f t="shared" si="25"/>
        <v>0</v>
      </c>
      <c r="M191" s="10" t="s">
        <v>60</v>
      </c>
      <c r="N191" s="9" t="s">
        <v>271</v>
      </c>
      <c r="O191" s="10"/>
      <c r="P191" s="9"/>
    </row>
    <row r="192" spans="1:16" hidden="1" x14ac:dyDescent="0.2">
      <c r="A192" s="12">
        <v>10</v>
      </c>
      <c r="B192" s="12" t="s">
        <v>23</v>
      </c>
      <c r="C192" s="19"/>
      <c r="D192" s="9"/>
      <c r="E192" s="19"/>
      <c r="F192" s="19"/>
      <c r="G192" s="19"/>
      <c r="H192" s="19">
        <v>37.5</v>
      </c>
      <c r="I192" s="19"/>
      <c r="J192" s="19"/>
      <c r="K192" s="12" t="s">
        <v>17</v>
      </c>
      <c r="L192" s="35">
        <f t="shared" si="25"/>
        <v>0</v>
      </c>
      <c r="M192" s="10" t="s">
        <v>60</v>
      </c>
      <c r="N192" s="9" t="s">
        <v>272</v>
      </c>
      <c r="O192" s="10"/>
      <c r="P192" s="9"/>
    </row>
    <row r="193" spans="1:16" hidden="1" x14ac:dyDescent="0.2">
      <c r="A193" s="12">
        <v>10</v>
      </c>
      <c r="B193" s="12" t="s">
        <v>23</v>
      </c>
      <c r="C193" s="19"/>
      <c r="D193" s="9"/>
      <c r="E193" s="19"/>
      <c r="F193" s="19"/>
      <c r="G193" s="19"/>
      <c r="H193" s="19">
        <v>37.5</v>
      </c>
      <c r="I193" s="19"/>
      <c r="J193" s="19"/>
      <c r="K193" s="12" t="s">
        <v>17</v>
      </c>
      <c r="L193" s="35">
        <f t="shared" si="25"/>
        <v>0</v>
      </c>
      <c r="M193" s="10" t="s">
        <v>60</v>
      </c>
      <c r="N193" s="9" t="s">
        <v>273</v>
      </c>
      <c r="O193" s="10"/>
      <c r="P193" s="9"/>
    </row>
    <row r="194" spans="1:16" hidden="1" x14ac:dyDescent="0.2">
      <c r="A194" s="12">
        <v>10</v>
      </c>
      <c r="B194" s="12" t="s">
        <v>23</v>
      </c>
      <c r="C194" s="19"/>
      <c r="D194" s="9"/>
      <c r="E194" s="19"/>
      <c r="F194" s="19"/>
      <c r="G194" s="19"/>
      <c r="H194" s="9">
        <v>73.48</v>
      </c>
      <c r="I194" s="19"/>
      <c r="J194" s="19"/>
      <c r="K194" s="12" t="s">
        <v>17</v>
      </c>
      <c r="L194" s="35">
        <f t="shared" si="25"/>
        <v>0</v>
      </c>
      <c r="M194" s="10" t="s">
        <v>60</v>
      </c>
      <c r="N194" s="9" t="s">
        <v>274</v>
      </c>
      <c r="O194" s="10"/>
      <c r="P194" s="9"/>
    </row>
    <row r="195" spans="1:16" hidden="1" x14ac:dyDescent="0.2">
      <c r="A195" s="12">
        <v>10</v>
      </c>
      <c r="B195" s="12" t="s">
        <v>20</v>
      </c>
      <c r="C195" s="19">
        <v>125.53</v>
      </c>
      <c r="D195" s="9"/>
      <c r="E195" s="19"/>
      <c r="F195" s="19"/>
      <c r="G195" s="19"/>
      <c r="H195" s="19"/>
      <c r="I195" s="19"/>
      <c r="J195" s="19">
        <v>18.41</v>
      </c>
      <c r="K195" s="12" t="s">
        <v>17</v>
      </c>
      <c r="L195" s="35">
        <f t="shared" si="25"/>
        <v>0</v>
      </c>
      <c r="M195" s="10" t="s">
        <v>60</v>
      </c>
      <c r="N195" s="9" t="s">
        <v>275</v>
      </c>
      <c r="O195" s="10"/>
      <c r="P195" s="9"/>
    </row>
    <row r="196" spans="1:16" hidden="1" x14ac:dyDescent="0.2">
      <c r="A196" s="12">
        <v>11</v>
      </c>
      <c r="B196" s="12" t="s">
        <v>23</v>
      </c>
      <c r="C196" s="19">
        <f>12+5</f>
        <v>17</v>
      </c>
      <c r="D196" s="9"/>
      <c r="E196" s="19"/>
      <c r="F196" s="19"/>
      <c r="G196" s="19"/>
      <c r="H196" s="19">
        <v>6</v>
      </c>
      <c r="I196" s="19"/>
      <c r="J196" s="19">
        <v>3.45</v>
      </c>
      <c r="K196" s="12" t="s">
        <v>16</v>
      </c>
      <c r="L196" s="35">
        <f t="shared" ref="L196" si="26">SUBTOTAL(9,C196:J196)</f>
        <v>0</v>
      </c>
      <c r="M196" s="10" t="s">
        <v>58</v>
      </c>
      <c r="N196" s="9" t="s">
        <v>276</v>
      </c>
      <c r="O196" s="10"/>
      <c r="P196" s="9"/>
    </row>
    <row r="197" spans="1:16" hidden="1" x14ac:dyDescent="0.2">
      <c r="A197" s="12">
        <v>11</v>
      </c>
      <c r="B197" s="12" t="s">
        <v>23</v>
      </c>
      <c r="C197" s="19">
        <v>3.5</v>
      </c>
      <c r="D197" s="9"/>
      <c r="E197" s="19"/>
      <c r="F197" s="19"/>
      <c r="G197" s="19"/>
      <c r="H197" s="9"/>
      <c r="I197" s="19"/>
      <c r="J197" s="19">
        <v>0.53</v>
      </c>
      <c r="K197" s="12" t="s">
        <v>16</v>
      </c>
      <c r="L197" s="35">
        <f t="shared" si="25"/>
        <v>0</v>
      </c>
      <c r="M197" s="10" t="s">
        <v>58</v>
      </c>
      <c r="N197" s="9" t="s">
        <v>277</v>
      </c>
      <c r="O197" s="10"/>
      <c r="P197" s="9"/>
    </row>
    <row r="198" spans="1:16" hidden="1" x14ac:dyDescent="0.2">
      <c r="A198" s="12">
        <v>11</v>
      </c>
      <c r="B198" s="12" t="s">
        <v>23</v>
      </c>
      <c r="C198" s="19">
        <f>14.95+5</f>
        <v>19.95</v>
      </c>
      <c r="D198" s="9"/>
      <c r="E198" s="19"/>
      <c r="F198" s="19"/>
      <c r="G198" s="19"/>
      <c r="H198" s="19">
        <v>6</v>
      </c>
      <c r="I198" s="19"/>
      <c r="J198" s="19">
        <v>3.89</v>
      </c>
      <c r="K198" s="12" t="s">
        <v>16</v>
      </c>
      <c r="L198" s="35">
        <f t="shared" si="25"/>
        <v>0</v>
      </c>
      <c r="M198" s="10" t="s">
        <v>58</v>
      </c>
      <c r="N198" s="9" t="s">
        <v>276</v>
      </c>
      <c r="O198" s="10"/>
      <c r="P198" s="9"/>
    </row>
    <row r="199" spans="1:16" hidden="1" x14ac:dyDescent="0.2">
      <c r="A199" s="12">
        <v>11</v>
      </c>
      <c r="B199" s="12" t="s">
        <v>23</v>
      </c>
      <c r="C199" s="19"/>
      <c r="D199" s="9"/>
      <c r="E199" s="19"/>
      <c r="F199" s="19"/>
      <c r="G199" s="19"/>
      <c r="H199" s="19">
        <v>15.49</v>
      </c>
      <c r="I199" s="19"/>
      <c r="J199" s="19"/>
      <c r="K199" s="12" t="s">
        <v>17</v>
      </c>
      <c r="L199" s="35">
        <f t="shared" ref="L199" si="27">SUBTOTAL(9,C199:J199)</f>
        <v>0</v>
      </c>
      <c r="M199" s="10" t="s">
        <v>60</v>
      </c>
      <c r="N199" s="9" t="s">
        <v>278</v>
      </c>
      <c r="O199" s="10"/>
      <c r="P199" s="9"/>
    </row>
    <row r="200" spans="1:16" hidden="1" x14ac:dyDescent="0.2">
      <c r="A200" s="12">
        <v>11</v>
      </c>
      <c r="B200" s="12" t="s">
        <v>23</v>
      </c>
      <c r="C200" s="19"/>
      <c r="D200" s="9"/>
      <c r="E200" s="19"/>
      <c r="F200" s="19"/>
      <c r="G200" s="19"/>
      <c r="H200" s="19">
        <v>74.14</v>
      </c>
      <c r="I200" s="19"/>
      <c r="J200" s="19"/>
      <c r="K200" s="12" t="s">
        <v>17</v>
      </c>
      <c r="L200" s="35">
        <f t="shared" si="25"/>
        <v>0</v>
      </c>
      <c r="M200" s="10" t="s">
        <v>60</v>
      </c>
      <c r="N200" s="9" t="s">
        <v>279</v>
      </c>
      <c r="O200" s="10"/>
      <c r="P200" s="9"/>
    </row>
    <row r="201" spans="1:16" hidden="1" x14ac:dyDescent="0.2">
      <c r="A201" s="12">
        <v>11</v>
      </c>
      <c r="B201" s="12" t="s">
        <v>23</v>
      </c>
      <c r="C201" s="9"/>
      <c r="D201" s="9"/>
      <c r="E201" s="19"/>
      <c r="F201" s="19"/>
      <c r="G201" s="19"/>
      <c r="H201" s="19">
        <v>6.95</v>
      </c>
      <c r="I201" s="19"/>
      <c r="J201" s="19"/>
      <c r="K201" s="12" t="s">
        <v>17</v>
      </c>
      <c r="L201" s="35">
        <f t="shared" si="25"/>
        <v>0</v>
      </c>
      <c r="M201" s="10" t="s">
        <v>60</v>
      </c>
      <c r="N201" s="9" t="s">
        <v>280</v>
      </c>
      <c r="O201" s="10"/>
      <c r="P201" s="9"/>
    </row>
    <row r="202" spans="1:16" hidden="1" x14ac:dyDescent="0.2">
      <c r="A202" s="12">
        <v>11</v>
      </c>
      <c r="B202" s="12" t="s">
        <v>23</v>
      </c>
      <c r="C202" s="19"/>
      <c r="D202" s="9"/>
      <c r="E202" s="19"/>
      <c r="F202" s="19"/>
      <c r="G202" s="19"/>
      <c r="H202" s="19">
        <v>19.489999999999998</v>
      </c>
      <c r="I202" s="19"/>
      <c r="J202" s="19"/>
      <c r="K202" s="12" t="s">
        <v>17</v>
      </c>
      <c r="L202" s="35">
        <f t="shared" si="25"/>
        <v>0</v>
      </c>
      <c r="M202" s="10" t="s">
        <v>60</v>
      </c>
      <c r="N202" s="9" t="s">
        <v>281</v>
      </c>
      <c r="O202" s="10"/>
      <c r="P202" s="9"/>
    </row>
    <row r="203" spans="1:16" hidden="1" x14ac:dyDescent="0.2">
      <c r="A203" s="12">
        <v>11</v>
      </c>
      <c r="B203" s="12" t="s">
        <v>23</v>
      </c>
      <c r="C203" s="19"/>
      <c r="D203" s="9"/>
      <c r="E203" s="19"/>
      <c r="F203" s="19"/>
      <c r="G203" s="19"/>
      <c r="H203" s="19">
        <v>6.95</v>
      </c>
      <c r="I203" s="19"/>
      <c r="J203" s="19"/>
      <c r="K203" s="12" t="s">
        <v>17</v>
      </c>
      <c r="L203" s="35">
        <f t="shared" si="25"/>
        <v>0</v>
      </c>
      <c r="M203" s="10" t="s">
        <v>60</v>
      </c>
      <c r="N203" s="9" t="s">
        <v>282</v>
      </c>
      <c r="O203" s="10"/>
      <c r="P203" s="9"/>
    </row>
    <row r="204" spans="1:16" hidden="1" x14ac:dyDescent="0.2">
      <c r="A204" s="12">
        <v>11</v>
      </c>
      <c r="B204" s="12" t="s">
        <v>23</v>
      </c>
      <c r="C204" s="19"/>
      <c r="D204" s="9"/>
      <c r="E204" s="19"/>
      <c r="F204" s="19"/>
      <c r="G204" s="19"/>
      <c r="H204" s="19">
        <v>6.95</v>
      </c>
      <c r="I204" s="19"/>
      <c r="J204" s="19"/>
      <c r="K204" s="12" t="s">
        <v>17</v>
      </c>
      <c r="L204" s="35">
        <f t="shared" si="25"/>
        <v>0</v>
      </c>
      <c r="M204" s="10" t="s">
        <v>60</v>
      </c>
      <c r="N204" s="9" t="s">
        <v>283</v>
      </c>
      <c r="O204" s="10"/>
      <c r="P204" s="9"/>
    </row>
    <row r="205" spans="1:16" hidden="1" x14ac:dyDescent="0.2">
      <c r="A205" s="12">
        <v>11</v>
      </c>
      <c r="B205" s="12" t="s">
        <v>20</v>
      </c>
      <c r="C205" s="19">
        <v>18</v>
      </c>
      <c r="D205" s="9"/>
      <c r="E205" s="19"/>
      <c r="F205" s="19"/>
      <c r="G205" s="19"/>
      <c r="H205" s="19"/>
      <c r="I205" s="19"/>
      <c r="J205" s="19">
        <v>2.7</v>
      </c>
      <c r="K205" s="12" t="s">
        <v>17</v>
      </c>
      <c r="L205" s="35">
        <f t="shared" si="25"/>
        <v>0</v>
      </c>
      <c r="M205" s="10" t="s">
        <v>60</v>
      </c>
      <c r="N205" s="9" t="s">
        <v>284</v>
      </c>
      <c r="O205" s="10"/>
      <c r="P205" s="9"/>
    </row>
    <row r="206" spans="1:16" hidden="1" x14ac:dyDescent="0.2">
      <c r="A206" s="12">
        <v>11</v>
      </c>
      <c r="B206" s="12" t="s">
        <v>23</v>
      </c>
      <c r="C206" s="9"/>
      <c r="D206" s="9"/>
      <c r="E206" s="19"/>
      <c r="F206" s="19"/>
      <c r="G206" s="19"/>
      <c r="H206" s="19">
        <v>29.49</v>
      </c>
      <c r="I206" s="19"/>
      <c r="J206" s="19"/>
      <c r="K206" s="12" t="s">
        <v>17</v>
      </c>
      <c r="L206" s="35">
        <f t="shared" ref="L206:L221" si="28">SUBTOTAL(9,C206:J206)</f>
        <v>0</v>
      </c>
      <c r="M206" s="10" t="s">
        <v>60</v>
      </c>
      <c r="N206" s="9" t="s">
        <v>285</v>
      </c>
      <c r="O206" s="10"/>
      <c r="P206" s="9"/>
    </row>
    <row r="207" spans="1:16" hidden="1" x14ac:dyDescent="0.2">
      <c r="A207" s="12">
        <v>11</v>
      </c>
      <c r="B207" s="12" t="s">
        <v>23</v>
      </c>
      <c r="C207" s="19"/>
      <c r="D207" s="9"/>
      <c r="E207" s="19"/>
      <c r="F207" s="19"/>
      <c r="G207" s="19"/>
      <c r="H207" s="19">
        <v>6.95</v>
      </c>
      <c r="I207" s="19"/>
      <c r="J207" s="19"/>
      <c r="K207" s="12" t="s">
        <v>17</v>
      </c>
      <c r="L207" s="35">
        <f t="shared" si="28"/>
        <v>0</v>
      </c>
      <c r="M207" s="10" t="s">
        <v>60</v>
      </c>
      <c r="N207" s="9" t="s">
        <v>286</v>
      </c>
      <c r="O207" s="10"/>
      <c r="P207" s="9"/>
    </row>
    <row r="208" spans="1:16" hidden="1" x14ac:dyDescent="0.2">
      <c r="A208" s="12">
        <v>11</v>
      </c>
      <c r="B208" s="12" t="s">
        <v>23</v>
      </c>
      <c r="C208" s="19"/>
      <c r="D208" s="9"/>
      <c r="E208" s="19"/>
      <c r="F208" s="19"/>
      <c r="G208" s="19"/>
      <c r="H208" s="19">
        <v>19.989999999999998</v>
      </c>
      <c r="I208" s="19"/>
      <c r="J208" s="19"/>
      <c r="K208" s="12" t="s">
        <v>17</v>
      </c>
      <c r="L208" s="35">
        <f t="shared" si="28"/>
        <v>0</v>
      </c>
      <c r="M208" s="10" t="s">
        <v>60</v>
      </c>
      <c r="N208" s="9" t="s">
        <v>287</v>
      </c>
      <c r="O208" s="10"/>
      <c r="P208" s="9"/>
    </row>
    <row r="209" spans="1:16" hidden="1" x14ac:dyDescent="0.2">
      <c r="A209" s="12">
        <v>11</v>
      </c>
      <c r="B209" s="12" t="s">
        <v>23</v>
      </c>
      <c r="C209" s="19"/>
      <c r="D209" s="9"/>
      <c r="E209" s="19"/>
      <c r="F209" s="19"/>
      <c r="G209" s="19"/>
      <c r="H209" s="19">
        <v>9.99</v>
      </c>
      <c r="I209" s="19"/>
      <c r="J209" s="19"/>
      <c r="K209" s="12" t="s">
        <v>17</v>
      </c>
      <c r="L209" s="35">
        <f t="shared" si="28"/>
        <v>0</v>
      </c>
      <c r="M209" s="10" t="s">
        <v>60</v>
      </c>
      <c r="N209" s="9" t="s">
        <v>288</v>
      </c>
      <c r="O209" s="10"/>
      <c r="P209" s="9"/>
    </row>
    <row r="210" spans="1:16" hidden="1" x14ac:dyDescent="0.2">
      <c r="A210" s="12">
        <v>11</v>
      </c>
      <c r="B210" s="12" t="s">
        <v>23</v>
      </c>
      <c r="C210" s="19"/>
      <c r="D210" s="9"/>
      <c r="E210" s="19"/>
      <c r="F210" s="19"/>
      <c r="G210" s="19"/>
      <c r="H210" s="19">
        <v>6.95</v>
      </c>
      <c r="I210" s="19"/>
      <c r="J210" s="19"/>
      <c r="K210" s="12" t="s">
        <v>17</v>
      </c>
      <c r="L210" s="35">
        <f t="shared" si="28"/>
        <v>0</v>
      </c>
      <c r="M210" s="10" t="s">
        <v>60</v>
      </c>
      <c r="N210" s="9" t="s">
        <v>289</v>
      </c>
      <c r="O210" s="10"/>
      <c r="P210" s="9"/>
    </row>
    <row r="211" spans="1:16" hidden="1" x14ac:dyDescent="0.2">
      <c r="A211" s="12">
        <v>11</v>
      </c>
      <c r="B211" s="12" t="s">
        <v>23</v>
      </c>
      <c r="C211" s="19"/>
      <c r="D211" s="9"/>
      <c r="E211" s="19"/>
      <c r="F211" s="19"/>
      <c r="G211" s="19"/>
      <c r="H211" s="9">
        <v>26.94</v>
      </c>
      <c r="I211" s="19"/>
      <c r="J211" s="19"/>
      <c r="K211" s="12" t="s">
        <v>17</v>
      </c>
      <c r="L211" s="35">
        <f t="shared" si="28"/>
        <v>0</v>
      </c>
      <c r="M211" s="10" t="s">
        <v>60</v>
      </c>
      <c r="N211" s="9" t="s">
        <v>290</v>
      </c>
      <c r="O211" s="10"/>
      <c r="P211" s="9"/>
    </row>
    <row r="212" spans="1:16" hidden="1" x14ac:dyDescent="0.2">
      <c r="A212" s="12">
        <v>11</v>
      </c>
      <c r="B212" s="12" t="s">
        <v>23</v>
      </c>
      <c r="C212" s="19"/>
      <c r="D212" s="9"/>
      <c r="E212" s="19"/>
      <c r="F212" s="19"/>
      <c r="G212" s="19"/>
      <c r="H212" s="9">
        <v>19.989999999999998</v>
      </c>
      <c r="I212" s="19"/>
      <c r="J212" s="19"/>
      <c r="K212" s="12" t="s">
        <v>17</v>
      </c>
      <c r="L212" s="35">
        <f t="shared" si="28"/>
        <v>0</v>
      </c>
      <c r="M212" s="10" t="s">
        <v>60</v>
      </c>
      <c r="N212" s="9" t="s">
        <v>291</v>
      </c>
      <c r="O212" s="10"/>
      <c r="P212" s="9"/>
    </row>
    <row r="213" spans="1:16" hidden="1" x14ac:dyDescent="0.2">
      <c r="A213" s="12">
        <v>11</v>
      </c>
      <c r="B213" s="12" t="s">
        <v>20</v>
      </c>
      <c r="C213" s="19">
        <f>40+35+23+15+3</f>
        <v>116</v>
      </c>
      <c r="D213" s="9">
        <f>12.5+14</f>
        <v>26.5</v>
      </c>
      <c r="E213" s="19"/>
      <c r="F213" s="19">
        <v>56</v>
      </c>
      <c r="G213" s="19"/>
      <c r="H213" s="19"/>
      <c r="I213" s="19"/>
      <c r="J213" s="19">
        <v>29.78</v>
      </c>
      <c r="K213" s="12" t="s">
        <v>17</v>
      </c>
      <c r="L213" s="35">
        <f t="shared" si="28"/>
        <v>0</v>
      </c>
      <c r="M213" s="10" t="s">
        <v>60</v>
      </c>
      <c r="N213" s="9" t="s">
        <v>292</v>
      </c>
      <c r="O213" s="10"/>
      <c r="P213" s="9"/>
    </row>
    <row r="214" spans="1:16" hidden="1" x14ac:dyDescent="0.2">
      <c r="A214" s="12">
        <v>11</v>
      </c>
      <c r="B214" s="12" t="s">
        <v>23</v>
      </c>
      <c r="C214" s="19"/>
      <c r="D214" s="9"/>
      <c r="E214" s="19"/>
      <c r="F214" s="19"/>
      <c r="G214" s="19"/>
      <c r="H214" s="19">
        <v>26.94</v>
      </c>
      <c r="I214" s="19"/>
      <c r="J214" s="19"/>
      <c r="K214" s="12" t="s">
        <v>17</v>
      </c>
      <c r="L214" s="35">
        <f t="shared" si="28"/>
        <v>0</v>
      </c>
      <c r="M214" s="10" t="s">
        <v>60</v>
      </c>
      <c r="N214" s="9" t="s">
        <v>293</v>
      </c>
      <c r="O214" s="10"/>
      <c r="P214" s="9"/>
    </row>
    <row r="215" spans="1:16" hidden="1" x14ac:dyDescent="0.2">
      <c r="A215" s="12">
        <v>12</v>
      </c>
      <c r="B215" s="12" t="s">
        <v>23</v>
      </c>
      <c r="C215" s="19">
        <v>8</v>
      </c>
      <c r="D215" s="9"/>
      <c r="E215" s="19"/>
      <c r="F215" s="19"/>
      <c r="G215" s="19"/>
      <c r="H215" s="9"/>
      <c r="I215" s="19"/>
      <c r="J215" s="19">
        <v>1.2</v>
      </c>
      <c r="K215" s="12" t="s">
        <v>16</v>
      </c>
      <c r="L215" s="35">
        <f t="shared" si="28"/>
        <v>0</v>
      </c>
      <c r="M215" s="10" t="s">
        <v>58</v>
      </c>
      <c r="N215" s="9" t="s">
        <v>151</v>
      </c>
      <c r="O215" s="10"/>
      <c r="P215" s="9"/>
    </row>
    <row r="216" spans="1:16" hidden="1" x14ac:dyDescent="0.2">
      <c r="A216" s="12">
        <v>12</v>
      </c>
      <c r="B216" s="12" t="s">
        <v>23</v>
      </c>
      <c r="C216" s="19">
        <v>6</v>
      </c>
      <c r="D216" s="9"/>
      <c r="E216" s="19"/>
      <c r="F216" s="19"/>
      <c r="G216" s="19"/>
      <c r="H216" s="19"/>
      <c r="I216" s="19"/>
      <c r="J216" s="19"/>
      <c r="K216" s="12" t="s">
        <v>16</v>
      </c>
      <c r="L216" s="35">
        <f t="shared" si="28"/>
        <v>0</v>
      </c>
      <c r="M216" s="10" t="s">
        <v>58</v>
      </c>
      <c r="N216" s="9" t="s">
        <v>151</v>
      </c>
      <c r="O216" s="10"/>
      <c r="P216" s="9"/>
    </row>
    <row r="217" spans="1:16" hidden="1" x14ac:dyDescent="0.2">
      <c r="A217" s="12">
        <v>12</v>
      </c>
      <c r="B217" s="12" t="s">
        <v>23</v>
      </c>
      <c r="C217" s="19">
        <v>6</v>
      </c>
      <c r="D217" s="9"/>
      <c r="E217" s="19"/>
      <c r="F217" s="19"/>
      <c r="G217" s="19"/>
      <c r="H217" s="19"/>
      <c r="I217" s="19"/>
      <c r="J217" s="19"/>
      <c r="K217" s="12" t="s">
        <v>16</v>
      </c>
      <c r="L217" s="35">
        <f t="shared" si="28"/>
        <v>0</v>
      </c>
      <c r="M217" s="10" t="s">
        <v>58</v>
      </c>
      <c r="N217" s="9" t="s">
        <v>149</v>
      </c>
      <c r="O217" s="10"/>
      <c r="P217" s="9"/>
    </row>
    <row r="218" spans="1:16" hidden="1" x14ac:dyDescent="0.2">
      <c r="A218" s="12">
        <v>12</v>
      </c>
      <c r="B218" s="12" t="s">
        <v>23</v>
      </c>
      <c r="C218" s="19">
        <v>9</v>
      </c>
      <c r="D218" s="9"/>
      <c r="E218" s="19"/>
      <c r="F218" s="19"/>
      <c r="G218" s="19"/>
      <c r="H218" s="19"/>
      <c r="I218" s="19"/>
      <c r="J218" s="19">
        <v>1.35</v>
      </c>
      <c r="K218" s="12" t="s">
        <v>16</v>
      </c>
      <c r="L218" s="35">
        <f t="shared" si="28"/>
        <v>0</v>
      </c>
      <c r="M218" s="10" t="s">
        <v>58</v>
      </c>
      <c r="N218" s="9" t="s">
        <v>294</v>
      </c>
      <c r="O218" s="10"/>
      <c r="P218" s="9"/>
    </row>
    <row r="219" spans="1:16" hidden="1" x14ac:dyDescent="0.2">
      <c r="A219" s="12">
        <v>12</v>
      </c>
      <c r="B219" s="12" t="s">
        <v>20</v>
      </c>
      <c r="C219" s="19">
        <v>25</v>
      </c>
      <c r="D219" s="9"/>
      <c r="E219" s="19"/>
      <c r="F219" s="19"/>
      <c r="G219" s="19"/>
      <c r="H219" s="19"/>
      <c r="I219" s="19"/>
      <c r="J219" s="19"/>
      <c r="K219" s="12" t="s">
        <v>16</v>
      </c>
      <c r="L219" s="35">
        <f t="shared" si="28"/>
        <v>0</v>
      </c>
      <c r="M219" s="10" t="s">
        <v>58</v>
      </c>
      <c r="N219" s="9" t="s">
        <v>201</v>
      </c>
      <c r="O219" s="10"/>
      <c r="P219" s="9"/>
    </row>
    <row r="220" spans="1:16" hidden="1" x14ac:dyDescent="0.2">
      <c r="A220" s="12">
        <v>12</v>
      </c>
      <c r="B220" s="12" t="s">
        <v>20</v>
      </c>
      <c r="C220" s="19">
        <f>90+11</f>
        <v>101</v>
      </c>
      <c r="D220" s="9"/>
      <c r="E220" s="19"/>
      <c r="F220" s="19"/>
      <c r="G220" s="19">
        <v>8.5</v>
      </c>
      <c r="H220" s="19"/>
      <c r="I220" s="19"/>
      <c r="J220" s="19">
        <v>16.43</v>
      </c>
      <c r="K220" s="12" t="s">
        <v>17</v>
      </c>
      <c r="L220" s="35">
        <f t="shared" ref="L220" si="29">SUBTOTAL(9,C220:J220)</f>
        <v>0</v>
      </c>
      <c r="M220" s="10" t="s">
        <v>60</v>
      </c>
      <c r="N220" s="9" t="s">
        <v>295</v>
      </c>
      <c r="O220" s="10"/>
      <c r="P220" s="9"/>
    </row>
    <row r="221" spans="1:16" hidden="1" x14ac:dyDescent="0.2">
      <c r="A221" s="12">
        <v>12</v>
      </c>
      <c r="B221" s="12" t="s">
        <v>20</v>
      </c>
      <c r="C221" s="19">
        <v>22</v>
      </c>
      <c r="D221" s="9"/>
      <c r="E221" s="19"/>
      <c r="F221" s="19"/>
      <c r="G221" s="19"/>
      <c r="H221" s="19"/>
      <c r="I221" s="19"/>
      <c r="J221" s="19">
        <v>3.3</v>
      </c>
      <c r="K221" s="12" t="s">
        <v>17</v>
      </c>
      <c r="L221" s="35">
        <f t="shared" si="28"/>
        <v>0</v>
      </c>
      <c r="M221" s="10" t="s">
        <v>60</v>
      </c>
      <c r="N221" s="9" t="s">
        <v>296</v>
      </c>
      <c r="O221" s="10"/>
      <c r="P221" s="9"/>
    </row>
    <row r="222" spans="1:16" hidden="1" x14ac:dyDescent="0.2">
      <c r="A222" s="12">
        <v>13</v>
      </c>
      <c r="B222" s="12" t="s">
        <v>23</v>
      </c>
      <c r="C222" s="19"/>
      <c r="D222" s="9"/>
      <c r="E222" s="19"/>
      <c r="F222" s="19"/>
      <c r="G222" s="19"/>
      <c r="H222" s="19">
        <v>13.25</v>
      </c>
      <c r="I222" s="19"/>
      <c r="J222" s="19"/>
      <c r="K222" s="12" t="s">
        <v>17</v>
      </c>
      <c r="L222" s="35">
        <f t="shared" ref="L222" si="30">SUBTOTAL(9,C222:J222)</f>
        <v>0</v>
      </c>
      <c r="M222" s="10" t="s">
        <v>60</v>
      </c>
      <c r="N222" s="9" t="s">
        <v>245</v>
      </c>
      <c r="O222" s="10"/>
      <c r="P222" s="9"/>
    </row>
    <row r="223" spans="1:16" hidden="1" x14ac:dyDescent="0.2">
      <c r="A223" s="12">
        <v>13</v>
      </c>
      <c r="B223" s="12" t="s">
        <v>23</v>
      </c>
      <c r="C223" s="19">
        <v>14.95</v>
      </c>
      <c r="D223" s="9"/>
      <c r="E223" s="19"/>
      <c r="F223" s="19"/>
      <c r="G223" s="19"/>
      <c r="H223" s="19"/>
      <c r="I223" s="19"/>
      <c r="J223" s="19"/>
      <c r="K223" s="12" t="s">
        <v>16</v>
      </c>
      <c r="L223" s="35">
        <f t="shared" ref="L223:L237" si="31">SUBTOTAL(9,C223:J223)</f>
        <v>0</v>
      </c>
      <c r="M223" s="10" t="s">
        <v>58</v>
      </c>
      <c r="N223" s="9" t="s">
        <v>297</v>
      </c>
      <c r="O223" s="10"/>
      <c r="P223" s="9"/>
    </row>
    <row r="224" spans="1:16" hidden="1" x14ac:dyDescent="0.2">
      <c r="A224" s="12">
        <v>13</v>
      </c>
      <c r="B224" s="12" t="s">
        <v>23</v>
      </c>
      <c r="C224" s="19"/>
      <c r="D224" s="9"/>
      <c r="E224" s="19"/>
      <c r="F224" s="19"/>
      <c r="G224" s="19"/>
      <c r="H224" s="19">
        <v>14.25</v>
      </c>
      <c r="I224" s="19"/>
      <c r="J224" s="19">
        <v>2.13</v>
      </c>
      <c r="K224" s="12" t="s">
        <v>16</v>
      </c>
      <c r="L224" s="35">
        <f t="shared" si="31"/>
        <v>0</v>
      </c>
      <c r="M224" s="10" t="s">
        <v>58</v>
      </c>
      <c r="N224" s="9" t="s">
        <v>298</v>
      </c>
      <c r="O224" s="10"/>
      <c r="P224" s="9"/>
    </row>
    <row r="225" spans="1:16" hidden="1" x14ac:dyDescent="0.2">
      <c r="A225" s="12">
        <v>13</v>
      </c>
      <c r="B225" s="12" t="s">
        <v>23</v>
      </c>
      <c r="C225" s="19">
        <v>8.5</v>
      </c>
      <c r="D225" s="9"/>
      <c r="E225" s="19"/>
      <c r="F225" s="19"/>
      <c r="G225" s="19"/>
      <c r="H225" s="19"/>
      <c r="I225" s="19"/>
      <c r="J225" s="19">
        <v>1.28</v>
      </c>
      <c r="K225" s="12" t="s">
        <v>16</v>
      </c>
      <c r="L225" s="35">
        <f t="shared" si="31"/>
        <v>0</v>
      </c>
      <c r="M225" s="10" t="s">
        <v>58</v>
      </c>
      <c r="N225" s="9" t="s">
        <v>109</v>
      </c>
      <c r="O225" s="10"/>
      <c r="P225" s="9"/>
    </row>
    <row r="226" spans="1:16" hidden="1" x14ac:dyDescent="0.2">
      <c r="A226" s="12">
        <v>13</v>
      </c>
      <c r="B226" s="12" t="s">
        <v>23</v>
      </c>
      <c r="C226" s="19">
        <f>25.2-4.25</f>
        <v>20.95</v>
      </c>
      <c r="D226" s="9"/>
      <c r="E226" s="19"/>
      <c r="F226" s="19"/>
      <c r="G226" s="19"/>
      <c r="H226" s="19">
        <v>4.25</v>
      </c>
      <c r="I226" s="19"/>
      <c r="J226" s="19">
        <v>3.78</v>
      </c>
      <c r="K226" s="12" t="s">
        <v>16</v>
      </c>
      <c r="L226" s="35">
        <f t="shared" si="31"/>
        <v>0</v>
      </c>
      <c r="M226" s="10" t="s">
        <v>58</v>
      </c>
      <c r="N226" s="9" t="s">
        <v>276</v>
      </c>
      <c r="O226" s="10"/>
      <c r="P226" s="9"/>
    </row>
    <row r="227" spans="1:16" hidden="1" x14ac:dyDescent="0.2">
      <c r="A227" s="12">
        <v>13</v>
      </c>
      <c r="B227" s="12" t="s">
        <v>23</v>
      </c>
      <c r="C227" s="19">
        <f>23.95-2.5</f>
        <v>21.45</v>
      </c>
      <c r="D227" s="9"/>
      <c r="E227" s="19"/>
      <c r="F227" s="19"/>
      <c r="G227" s="19"/>
      <c r="H227" s="19">
        <v>2.5</v>
      </c>
      <c r="I227" s="19"/>
      <c r="J227" s="19">
        <v>3.59</v>
      </c>
      <c r="K227" s="12" t="s">
        <v>16</v>
      </c>
      <c r="L227" s="35">
        <f t="shared" si="31"/>
        <v>0</v>
      </c>
      <c r="M227" s="10" t="s">
        <v>58</v>
      </c>
      <c r="N227" s="9" t="s">
        <v>149</v>
      </c>
      <c r="O227" s="10"/>
      <c r="P227" s="9"/>
    </row>
    <row r="228" spans="1:16" hidden="1" x14ac:dyDescent="0.2">
      <c r="A228" s="12">
        <v>13</v>
      </c>
      <c r="B228" s="12" t="s">
        <v>23</v>
      </c>
      <c r="C228" s="19">
        <v>6</v>
      </c>
      <c r="D228" s="9"/>
      <c r="E228" s="19"/>
      <c r="F228" s="19"/>
      <c r="G228" s="19"/>
      <c r="H228" s="19"/>
      <c r="I228" s="19"/>
      <c r="J228" s="19">
        <v>0.9</v>
      </c>
      <c r="K228" s="12" t="s">
        <v>16</v>
      </c>
      <c r="L228" s="35">
        <f t="shared" si="31"/>
        <v>0</v>
      </c>
      <c r="M228" s="10" t="s">
        <v>58</v>
      </c>
      <c r="N228" s="9" t="s">
        <v>151</v>
      </c>
      <c r="O228" s="10"/>
      <c r="P228" s="9"/>
    </row>
    <row r="229" spans="1:16" hidden="1" x14ac:dyDescent="0.2">
      <c r="A229" s="12">
        <v>13</v>
      </c>
      <c r="B229" s="12" t="s">
        <v>23</v>
      </c>
      <c r="C229" s="19">
        <v>18.95</v>
      </c>
      <c r="D229" s="9"/>
      <c r="E229" s="19"/>
      <c r="F229" s="19"/>
      <c r="G229" s="19"/>
      <c r="H229" s="19"/>
      <c r="I229" s="19"/>
      <c r="J229" s="19">
        <v>2.84</v>
      </c>
      <c r="K229" s="12" t="s">
        <v>16</v>
      </c>
      <c r="L229" s="35">
        <f t="shared" si="31"/>
        <v>0</v>
      </c>
      <c r="M229" s="10" t="s">
        <v>58</v>
      </c>
      <c r="N229" s="9" t="s">
        <v>153</v>
      </c>
      <c r="O229" s="10"/>
      <c r="P229" s="9"/>
    </row>
    <row r="230" spans="1:16" hidden="1" x14ac:dyDescent="0.2">
      <c r="A230" s="12">
        <v>13</v>
      </c>
      <c r="B230" s="12" t="s">
        <v>20</v>
      </c>
      <c r="C230" s="19">
        <v>83.5</v>
      </c>
      <c r="D230" s="9"/>
      <c r="E230" s="19"/>
      <c r="F230" s="19"/>
      <c r="G230" s="19"/>
      <c r="H230" s="19">
        <v>7</v>
      </c>
      <c r="I230" s="19"/>
      <c r="J230" s="19">
        <v>10.86</v>
      </c>
      <c r="K230" s="12" t="s">
        <v>16</v>
      </c>
      <c r="L230" s="35">
        <f t="shared" si="31"/>
        <v>0</v>
      </c>
      <c r="M230" s="10" t="s">
        <v>58</v>
      </c>
      <c r="N230" s="9" t="s">
        <v>299</v>
      </c>
      <c r="O230" s="10"/>
      <c r="P230" s="9"/>
    </row>
    <row r="231" spans="1:16" hidden="1" x14ac:dyDescent="0.2">
      <c r="A231" s="12">
        <v>14</v>
      </c>
      <c r="B231" s="12" t="s">
        <v>20</v>
      </c>
      <c r="C231" s="19">
        <f>20+5+5+19+6</f>
        <v>55</v>
      </c>
      <c r="D231" s="9"/>
      <c r="E231" s="19"/>
      <c r="F231" s="19"/>
      <c r="G231" s="19"/>
      <c r="H231" s="19"/>
      <c r="I231" s="19"/>
      <c r="J231" s="19">
        <v>8.25</v>
      </c>
      <c r="K231" s="12" t="s">
        <v>17</v>
      </c>
      <c r="L231" s="35">
        <f t="shared" si="31"/>
        <v>0</v>
      </c>
      <c r="M231" s="10" t="s">
        <v>60</v>
      </c>
      <c r="N231" s="9" t="s">
        <v>300</v>
      </c>
      <c r="O231" s="10"/>
      <c r="P231" s="9"/>
    </row>
    <row r="232" spans="1:16" hidden="1" x14ac:dyDescent="0.2">
      <c r="A232" s="12">
        <v>14</v>
      </c>
      <c r="B232" s="12" t="s">
        <v>20</v>
      </c>
      <c r="C232" s="19"/>
      <c r="D232" s="9">
        <v>7</v>
      </c>
      <c r="E232" s="19"/>
      <c r="F232" s="19"/>
      <c r="G232" s="19"/>
      <c r="H232" s="19"/>
      <c r="I232" s="19"/>
      <c r="J232" s="19">
        <v>1.05</v>
      </c>
      <c r="K232" s="12" t="s">
        <v>17</v>
      </c>
      <c r="L232" s="35">
        <f t="shared" si="31"/>
        <v>0</v>
      </c>
      <c r="M232" s="10" t="s">
        <v>60</v>
      </c>
      <c r="N232" s="9" t="s">
        <v>301</v>
      </c>
      <c r="O232" s="10"/>
      <c r="P232" s="9"/>
    </row>
    <row r="233" spans="1:16" hidden="1" x14ac:dyDescent="0.2">
      <c r="A233" s="12">
        <v>14</v>
      </c>
      <c r="B233" s="12" t="s">
        <v>20</v>
      </c>
      <c r="C233" s="19">
        <f>4.25+3.5+5.5</f>
        <v>13.25</v>
      </c>
      <c r="D233" s="9"/>
      <c r="E233" s="19"/>
      <c r="F233" s="19"/>
      <c r="G233" s="19">
        <v>7</v>
      </c>
      <c r="H233" s="19"/>
      <c r="I233" s="19"/>
      <c r="J233" s="19">
        <v>3.04</v>
      </c>
      <c r="K233" s="12" t="s">
        <v>17</v>
      </c>
      <c r="L233" s="35">
        <f t="shared" si="31"/>
        <v>0</v>
      </c>
      <c r="M233" s="10" t="s">
        <v>60</v>
      </c>
      <c r="N233" s="9" t="s">
        <v>302</v>
      </c>
      <c r="O233" s="10"/>
      <c r="P233" s="9"/>
    </row>
    <row r="234" spans="1:16" hidden="1" x14ac:dyDescent="0.2">
      <c r="A234" s="12">
        <v>14</v>
      </c>
      <c r="B234" s="12" t="s">
        <v>20</v>
      </c>
      <c r="C234" s="19">
        <f>300+3.5+10.5+4.75</f>
        <v>318.75</v>
      </c>
      <c r="D234" s="9">
        <v>10</v>
      </c>
      <c r="E234" s="19"/>
      <c r="F234" s="19">
        <f>42+42</f>
        <v>84</v>
      </c>
      <c r="G234" s="19">
        <f>7+7</f>
        <v>14</v>
      </c>
      <c r="H234" s="19"/>
      <c r="I234" s="19"/>
      <c r="J234" s="19">
        <v>64.010000000000005</v>
      </c>
      <c r="K234" s="12" t="s">
        <v>17</v>
      </c>
      <c r="L234" s="35">
        <f t="shared" si="31"/>
        <v>0</v>
      </c>
      <c r="M234" s="10" t="s">
        <v>60</v>
      </c>
      <c r="N234" s="9" t="s">
        <v>303</v>
      </c>
      <c r="O234" s="10"/>
      <c r="P234" s="9"/>
    </row>
    <row r="235" spans="1:16" hidden="1" x14ac:dyDescent="0.2">
      <c r="A235" s="12">
        <v>14</v>
      </c>
      <c r="B235" s="12" t="s">
        <v>23</v>
      </c>
      <c r="C235" s="19"/>
      <c r="D235" s="9"/>
      <c r="E235" s="19"/>
      <c r="F235" s="19"/>
      <c r="G235" s="19"/>
      <c r="H235" s="19">
        <v>19.940000000000001</v>
      </c>
      <c r="I235" s="19"/>
      <c r="J235" s="19"/>
      <c r="K235" s="12" t="s">
        <v>17</v>
      </c>
      <c r="L235" s="35">
        <f t="shared" si="31"/>
        <v>0</v>
      </c>
      <c r="M235" s="10" t="s">
        <v>60</v>
      </c>
      <c r="N235" s="9" t="s">
        <v>304</v>
      </c>
      <c r="O235" s="10"/>
      <c r="P235" s="9"/>
    </row>
    <row r="236" spans="1:16" hidden="1" x14ac:dyDescent="0.2">
      <c r="A236" s="12">
        <v>14</v>
      </c>
      <c r="B236" s="12" t="s">
        <v>23</v>
      </c>
      <c r="C236" s="19"/>
      <c r="D236" s="9"/>
      <c r="E236" s="19"/>
      <c r="F236" s="19"/>
      <c r="G236" s="19"/>
      <c r="H236" s="19">
        <v>19.940000000000001</v>
      </c>
      <c r="I236" s="19"/>
      <c r="J236" s="19"/>
      <c r="K236" s="12" t="s">
        <v>17</v>
      </c>
      <c r="L236" s="35">
        <f t="shared" si="31"/>
        <v>0</v>
      </c>
      <c r="M236" s="10" t="s">
        <v>60</v>
      </c>
      <c r="N236" s="9" t="s">
        <v>305</v>
      </c>
      <c r="O236" s="10"/>
      <c r="P236" s="9"/>
    </row>
    <row r="237" spans="1:16" hidden="1" x14ac:dyDescent="0.2">
      <c r="A237" s="12">
        <v>14</v>
      </c>
      <c r="B237" s="12" t="s">
        <v>23</v>
      </c>
      <c r="C237" s="19"/>
      <c r="D237" s="9"/>
      <c r="E237" s="19"/>
      <c r="F237" s="19"/>
      <c r="G237" s="19"/>
      <c r="H237" s="19">
        <v>6.95</v>
      </c>
      <c r="I237" s="19"/>
      <c r="J237" s="19"/>
      <c r="K237" s="12" t="s">
        <v>17</v>
      </c>
      <c r="L237" s="35">
        <f t="shared" si="31"/>
        <v>0</v>
      </c>
      <c r="M237" s="10" t="s">
        <v>60</v>
      </c>
      <c r="N237" s="9" t="s">
        <v>306</v>
      </c>
      <c r="O237" s="10"/>
      <c r="P237" s="9"/>
    </row>
    <row r="238" spans="1:16" ht="12.75" hidden="1" customHeight="1" x14ac:dyDescent="0.2">
      <c r="A238" s="12">
        <v>14</v>
      </c>
      <c r="B238" s="12" t="s">
        <v>23</v>
      </c>
      <c r="C238" s="9"/>
      <c r="D238" s="9"/>
      <c r="E238" s="19"/>
      <c r="F238" s="19"/>
      <c r="G238" s="19"/>
      <c r="H238" s="19">
        <v>6.95</v>
      </c>
      <c r="I238" s="19"/>
      <c r="J238" s="19"/>
      <c r="K238" s="12" t="s">
        <v>17</v>
      </c>
      <c r="L238" s="35">
        <f t="shared" ref="L238:L242" si="32">SUBTOTAL(9,C238:J238)</f>
        <v>0</v>
      </c>
      <c r="M238" s="10" t="s">
        <v>60</v>
      </c>
      <c r="N238" s="9" t="s">
        <v>307</v>
      </c>
      <c r="O238" s="10"/>
      <c r="P238" s="9"/>
    </row>
    <row r="239" spans="1:16" ht="12.75" hidden="1" customHeight="1" x14ac:dyDescent="0.2">
      <c r="A239" s="12">
        <v>14</v>
      </c>
      <c r="B239" s="12" t="s">
        <v>23</v>
      </c>
      <c r="C239" s="9"/>
      <c r="D239" s="9"/>
      <c r="E239" s="19"/>
      <c r="F239" s="19"/>
      <c r="G239" s="19"/>
      <c r="H239" s="19">
        <v>6.95</v>
      </c>
      <c r="I239" s="19"/>
      <c r="J239" s="19"/>
      <c r="K239" s="12" t="s">
        <v>17</v>
      </c>
      <c r="L239" s="35">
        <f t="shared" si="32"/>
        <v>0</v>
      </c>
      <c r="M239" s="10" t="s">
        <v>60</v>
      </c>
      <c r="N239" s="9" t="s">
        <v>308</v>
      </c>
      <c r="O239" s="10"/>
      <c r="P239" s="9"/>
    </row>
    <row r="240" spans="1:16" ht="12.75" hidden="1" customHeight="1" x14ac:dyDescent="0.2">
      <c r="A240" s="12">
        <v>14</v>
      </c>
      <c r="B240" s="12" t="s">
        <v>23</v>
      </c>
      <c r="C240" s="9"/>
      <c r="D240" s="9"/>
      <c r="E240" s="19"/>
      <c r="F240" s="19"/>
      <c r="G240" s="19"/>
      <c r="H240" s="19">
        <v>7.25</v>
      </c>
      <c r="I240" s="19"/>
      <c r="J240" s="19"/>
      <c r="K240" s="12" t="s">
        <v>17</v>
      </c>
      <c r="L240" s="35">
        <f t="shared" ref="L240" si="33">SUBTOTAL(9,C240:J240)</f>
        <v>0</v>
      </c>
      <c r="M240" s="10" t="s">
        <v>60</v>
      </c>
      <c r="N240" s="9" t="s">
        <v>309</v>
      </c>
      <c r="O240" s="10"/>
      <c r="P240" s="9"/>
    </row>
    <row r="241" spans="1:16" ht="12.75" hidden="1" customHeight="1" x14ac:dyDescent="0.2">
      <c r="A241" s="12">
        <v>14</v>
      </c>
      <c r="B241" s="12" t="s">
        <v>23</v>
      </c>
      <c r="C241" s="9"/>
      <c r="D241" s="9"/>
      <c r="E241" s="19"/>
      <c r="F241" s="19"/>
      <c r="G241" s="19"/>
      <c r="H241" s="19">
        <v>7.25</v>
      </c>
      <c r="I241" s="19"/>
      <c r="J241" s="19"/>
      <c r="K241" s="12" t="s">
        <v>17</v>
      </c>
      <c r="L241" s="35">
        <f t="shared" si="32"/>
        <v>0</v>
      </c>
      <c r="M241" s="10" t="s">
        <v>60</v>
      </c>
      <c r="N241" s="9" t="s">
        <v>310</v>
      </c>
      <c r="O241" s="10"/>
      <c r="P241" s="9"/>
    </row>
    <row r="242" spans="1:16" ht="12.75" hidden="1" customHeight="1" x14ac:dyDescent="0.2">
      <c r="A242" s="12">
        <v>14</v>
      </c>
      <c r="B242" s="12" t="s">
        <v>23</v>
      </c>
      <c r="C242" s="9"/>
      <c r="D242" s="9"/>
      <c r="E242" s="19"/>
      <c r="F242" s="19"/>
      <c r="G242" s="19"/>
      <c r="H242" s="19">
        <v>7.25</v>
      </c>
      <c r="I242" s="19"/>
      <c r="J242" s="19"/>
      <c r="K242" s="12" t="s">
        <v>17</v>
      </c>
      <c r="L242" s="35">
        <f t="shared" si="32"/>
        <v>0</v>
      </c>
      <c r="M242" s="10" t="s">
        <v>60</v>
      </c>
      <c r="N242" s="9" t="s">
        <v>311</v>
      </c>
      <c r="O242" s="10"/>
      <c r="P242" s="9"/>
    </row>
    <row r="243" spans="1:16" ht="12.75" hidden="1" customHeight="1" x14ac:dyDescent="0.2">
      <c r="A243" s="12">
        <v>14</v>
      </c>
      <c r="B243" s="12" t="s">
        <v>23</v>
      </c>
      <c r="C243" s="9"/>
      <c r="D243" s="9"/>
      <c r="E243" s="19"/>
      <c r="F243" s="19"/>
      <c r="G243" s="19"/>
      <c r="H243" s="19">
        <v>7.25</v>
      </c>
      <c r="I243" s="19"/>
      <c r="J243" s="19"/>
      <c r="K243" s="12" t="s">
        <v>17</v>
      </c>
      <c r="L243" s="35">
        <f t="shared" ref="L243:L244" si="34">SUBTOTAL(9,C243:J243)</f>
        <v>0</v>
      </c>
      <c r="M243" s="10" t="s">
        <v>60</v>
      </c>
      <c r="N243" s="9" t="s">
        <v>312</v>
      </c>
      <c r="O243" s="10"/>
      <c r="P243" s="9"/>
    </row>
    <row r="244" spans="1:16" ht="12.75" hidden="1" customHeight="1" x14ac:dyDescent="0.2">
      <c r="A244" s="12">
        <v>14</v>
      </c>
      <c r="B244" s="12" t="s">
        <v>23</v>
      </c>
      <c r="C244" s="9"/>
      <c r="D244" s="9"/>
      <c r="E244" s="19"/>
      <c r="F244" s="19"/>
      <c r="G244" s="19"/>
      <c r="H244" s="19">
        <v>7.25</v>
      </c>
      <c r="I244" s="19"/>
      <c r="J244" s="19"/>
      <c r="K244" s="12" t="s">
        <v>17</v>
      </c>
      <c r="L244" s="35">
        <f t="shared" si="34"/>
        <v>0</v>
      </c>
      <c r="M244" s="10" t="s">
        <v>60</v>
      </c>
      <c r="N244" s="9" t="s">
        <v>313</v>
      </c>
      <c r="O244" s="10"/>
      <c r="P244" s="9"/>
    </row>
    <row r="245" spans="1:16" ht="12.75" hidden="1" customHeight="1" x14ac:dyDescent="0.2">
      <c r="A245" s="12">
        <v>14</v>
      </c>
      <c r="B245" s="12" t="s">
        <v>23</v>
      </c>
      <c r="C245" s="9"/>
      <c r="D245" s="9"/>
      <c r="E245" s="19"/>
      <c r="F245" s="19"/>
      <c r="G245" s="19"/>
      <c r="H245" s="19">
        <v>34.99</v>
      </c>
      <c r="I245" s="19"/>
      <c r="J245" s="19"/>
      <c r="K245" s="12" t="s">
        <v>17</v>
      </c>
      <c r="L245" s="35">
        <f t="shared" ref="L245:L261" si="35">SUBTOTAL(9,C245:J245)</f>
        <v>0</v>
      </c>
      <c r="M245" s="10" t="s">
        <v>60</v>
      </c>
      <c r="N245" s="9" t="s">
        <v>314</v>
      </c>
      <c r="O245" s="10"/>
      <c r="P245" s="9"/>
    </row>
    <row r="246" spans="1:16" ht="12.75" hidden="1" customHeight="1" x14ac:dyDescent="0.2">
      <c r="A246" s="12">
        <v>14</v>
      </c>
      <c r="B246" s="12" t="s">
        <v>23</v>
      </c>
      <c r="C246" s="9"/>
      <c r="D246" s="9"/>
      <c r="E246" s="19"/>
      <c r="F246" s="19"/>
      <c r="G246" s="19"/>
      <c r="H246" s="19">
        <v>34.99</v>
      </c>
      <c r="I246" s="19"/>
      <c r="J246" s="19"/>
      <c r="K246" s="12" t="s">
        <v>17</v>
      </c>
      <c r="L246" s="35">
        <f t="shared" si="35"/>
        <v>0</v>
      </c>
      <c r="M246" s="10" t="s">
        <v>60</v>
      </c>
      <c r="N246" s="9" t="s">
        <v>315</v>
      </c>
      <c r="O246" s="10"/>
      <c r="P246" s="9"/>
    </row>
    <row r="247" spans="1:16" ht="12.75" hidden="1" customHeight="1" x14ac:dyDescent="0.2">
      <c r="A247" s="12">
        <v>14</v>
      </c>
      <c r="B247" s="12" t="s">
        <v>23</v>
      </c>
      <c r="C247" s="9"/>
      <c r="D247" s="9"/>
      <c r="E247" s="19"/>
      <c r="F247" s="19"/>
      <c r="G247" s="19"/>
      <c r="H247" s="19">
        <v>34.99</v>
      </c>
      <c r="I247" s="19"/>
      <c r="J247" s="19"/>
      <c r="K247" s="12" t="s">
        <v>17</v>
      </c>
      <c r="L247" s="35">
        <f t="shared" si="35"/>
        <v>0</v>
      </c>
      <c r="M247" s="10" t="s">
        <v>60</v>
      </c>
      <c r="N247" s="9" t="s">
        <v>316</v>
      </c>
      <c r="O247" s="10"/>
      <c r="P247" s="9"/>
    </row>
    <row r="248" spans="1:16" ht="12.75" hidden="1" customHeight="1" x14ac:dyDescent="0.2">
      <c r="A248" s="12">
        <v>14</v>
      </c>
      <c r="B248" s="12" t="s">
        <v>23</v>
      </c>
      <c r="C248" s="9"/>
      <c r="D248" s="9"/>
      <c r="E248" s="19"/>
      <c r="F248" s="19"/>
      <c r="G248" s="19"/>
      <c r="H248" s="19">
        <v>37.5</v>
      </c>
      <c r="I248" s="19"/>
      <c r="J248" s="19"/>
      <c r="K248" s="12" t="s">
        <v>17</v>
      </c>
      <c r="L248" s="35">
        <f t="shared" si="35"/>
        <v>0</v>
      </c>
      <c r="M248" s="10" t="s">
        <v>60</v>
      </c>
      <c r="N248" s="9" t="s">
        <v>317</v>
      </c>
      <c r="O248" s="10"/>
      <c r="P248" s="9"/>
    </row>
    <row r="249" spans="1:16" ht="12.75" hidden="1" customHeight="1" x14ac:dyDescent="0.2">
      <c r="A249" s="12">
        <v>14</v>
      </c>
      <c r="B249" s="12" t="s">
        <v>23</v>
      </c>
      <c r="C249" s="9"/>
      <c r="D249" s="9"/>
      <c r="E249" s="19"/>
      <c r="F249" s="19"/>
      <c r="G249" s="19"/>
      <c r="H249" s="19">
        <v>5.99</v>
      </c>
      <c r="I249" s="19"/>
      <c r="J249" s="19"/>
      <c r="K249" s="12" t="s">
        <v>17</v>
      </c>
      <c r="L249" s="35">
        <f t="shared" si="35"/>
        <v>0</v>
      </c>
      <c r="M249" s="10" t="s">
        <v>60</v>
      </c>
      <c r="N249" s="9" t="s">
        <v>318</v>
      </c>
      <c r="O249" s="10"/>
      <c r="P249" s="9"/>
    </row>
    <row r="250" spans="1:16" ht="12.75" hidden="1" customHeight="1" x14ac:dyDescent="0.2">
      <c r="A250" s="12">
        <v>13</v>
      </c>
      <c r="B250" s="12" t="s">
        <v>20</v>
      </c>
      <c r="C250" s="19">
        <v>83.5</v>
      </c>
      <c r="D250" s="9"/>
      <c r="E250" s="19"/>
      <c r="F250" s="19"/>
      <c r="G250" s="19"/>
      <c r="H250" s="19">
        <v>7</v>
      </c>
      <c r="I250" s="19"/>
      <c r="J250" s="19">
        <v>10.86</v>
      </c>
      <c r="K250" s="12" t="s">
        <v>16</v>
      </c>
      <c r="L250" s="35">
        <f t="shared" si="35"/>
        <v>0</v>
      </c>
      <c r="M250" s="10" t="s">
        <v>58</v>
      </c>
      <c r="N250" s="9" t="s">
        <v>299</v>
      </c>
      <c r="O250" s="10"/>
      <c r="P250" s="9"/>
    </row>
    <row r="251" spans="1:16" ht="12.75" hidden="1" customHeight="1" x14ac:dyDescent="0.2">
      <c r="A251" s="12">
        <v>14</v>
      </c>
      <c r="B251" s="12" t="s">
        <v>20</v>
      </c>
      <c r="C251" s="19">
        <f>22</f>
        <v>22</v>
      </c>
      <c r="D251" s="9"/>
      <c r="E251" s="19"/>
      <c r="F251" s="19"/>
      <c r="G251" s="19">
        <f>12.75+13.5</f>
        <v>26.25</v>
      </c>
      <c r="H251" s="19"/>
      <c r="I251" s="19"/>
      <c r="J251" s="19">
        <v>5.79</v>
      </c>
      <c r="K251" s="12" t="s">
        <v>16</v>
      </c>
      <c r="L251" s="35">
        <f t="shared" si="35"/>
        <v>0</v>
      </c>
      <c r="M251" s="10" t="s">
        <v>58</v>
      </c>
      <c r="N251" s="9" t="s">
        <v>319</v>
      </c>
      <c r="O251" s="10"/>
      <c r="P251" s="9"/>
    </row>
    <row r="252" spans="1:16" ht="12.75" hidden="1" customHeight="1" x14ac:dyDescent="0.2">
      <c r="A252" s="12">
        <v>14</v>
      </c>
      <c r="B252" s="12" t="s">
        <v>20</v>
      </c>
      <c r="C252" s="9">
        <f>200+3</f>
        <v>203</v>
      </c>
      <c r="D252" s="9">
        <f>30</f>
        <v>30</v>
      </c>
      <c r="E252" s="19"/>
      <c r="F252" s="19"/>
      <c r="G252" s="19">
        <f>14+4.25</f>
        <v>18.25</v>
      </c>
      <c r="H252" s="19"/>
      <c r="I252" s="19"/>
      <c r="J252" s="19">
        <v>30.15</v>
      </c>
      <c r="K252" s="12" t="s">
        <v>16</v>
      </c>
      <c r="L252" s="35">
        <f t="shared" ref="L252" si="36">SUBTOTAL(9,C252:J252)</f>
        <v>0</v>
      </c>
      <c r="M252" s="10" t="s">
        <v>58</v>
      </c>
      <c r="N252" s="9" t="s">
        <v>320</v>
      </c>
      <c r="O252" s="10"/>
      <c r="P252" s="9"/>
    </row>
    <row r="253" spans="1:16" ht="12.75" hidden="1" customHeight="1" x14ac:dyDescent="0.2">
      <c r="A253" s="12">
        <v>14</v>
      </c>
      <c r="B253" s="12" t="s">
        <v>23</v>
      </c>
      <c r="C253" s="9">
        <v>7</v>
      </c>
      <c r="D253" s="9"/>
      <c r="E253" s="19"/>
      <c r="F253" s="19"/>
      <c r="G253" s="19"/>
      <c r="H253" s="19"/>
      <c r="I253" s="19"/>
      <c r="J253" s="19">
        <v>1.05</v>
      </c>
      <c r="K253" s="12" t="s">
        <v>16</v>
      </c>
      <c r="L253" s="35">
        <f t="shared" si="35"/>
        <v>0</v>
      </c>
      <c r="M253" s="10" t="s">
        <v>58</v>
      </c>
      <c r="N253" s="9" t="s">
        <v>321</v>
      </c>
      <c r="O253" s="10"/>
      <c r="P253" s="9"/>
    </row>
    <row r="254" spans="1:16" ht="12.75" hidden="1" customHeight="1" x14ac:dyDescent="0.2">
      <c r="A254" s="12">
        <v>15</v>
      </c>
      <c r="B254" s="12" t="s">
        <v>23</v>
      </c>
      <c r="C254" s="9"/>
      <c r="D254" s="9"/>
      <c r="E254" s="19"/>
      <c r="F254" s="19"/>
      <c r="G254" s="19"/>
      <c r="H254" s="19">
        <v>7.25</v>
      </c>
      <c r="I254" s="19"/>
      <c r="J254" s="19"/>
      <c r="K254" s="12" t="s">
        <v>17</v>
      </c>
      <c r="L254" s="35">
        <f t="shared" si="35"/>
        <v>0</v>
      </c>
      <c r="M254" s="10" t="s">
        <v>60</v>
      </c>
      <c r="N254" s="9" t="s">
        <v>322</v>
      </c>
      <c r="O254" s="10"/>
      <c r="P254" s="9"/>
    </row>
    <row r="255" spans="1:16" ht="12.75" hidden="1" customHeight="1" x14ac:dyDescent="0.2">
      <c r="A255" s="12">
        <v>15</v>
      </c>
      <c r="B255" s="12" t="s">
        <v>23</v>
      </c>
      <c r="C255" s="9"/>
      <c r="D255" s="9"/>
      <c r="E255" s="19"/>
      <c r="F255" s="19"/>
      <c r="G255" s="19"/>
      <c r="H255" s="19">
        <v>7.25</v>
      </c>
      <c r="I255" s="19"/>
      <c r="J255" s="19"/>
      <c r="K255" s="12" t="s">
        <v>17</v>
      </c>
      <c r="L255" s="35">
        <f t="shared" si="35"/>
        <v>0</v>
      </c>
      <c r="M255" s="10" t="s">
        <v>60</v>
      </c>
      <c r="N255" s="9" t="s">
        <v>323</v>
      </c>
      <c r="O255" s="10"/>
      <c r="P255" s="9"/>
    </row>
    <row r="256" spans="1:16" ht="12.75" hidden="1" customHeight="1" x14ac:dyDescent="0.2">
      <c r="A256" s="12">
        <v>15</v>
      </c>
      <c r="B256" s="12" t="s">
        <v>23</v>
      </c>
      <c r="C256" s="9"/>
      <c r="D256" s="9"/>
      <c r="E256" s="19"/>
      <c r="F256" s="19"/>
      <c r="G256" s="19"/>
      <c r="H256" s="19">
        <v>7.25</v>
      </c>
      <c r="I256" s="19"/>
      <c r="J256" s="19"/>
      <c r="K256" s="12" t="s">
        <v>17</v>
      </c>
      <c r="L256" s="35">
        <f t="shared" si="35"/>
        <v>0</v>
      </c>
      <c r="M256" s="10" t="s">
        <v>60</v>
      </c>
      <c r="N256" s="9" t="s">
        <v>324</v>
      </c>
      <c r="O256" s="10"/>
      <c r="P256" s="9"/>
    </row>
    <row r="257" spans="1:16" ht="12.75" hidden="1" customHeight="1" x14ac:dyDescent="0.2">
      <c r="A257" s="12">
        <v>15</v>
      </c>
      <c r="B257" s="12" t="s">
        <v>23</v>
      </c>
      <c r="C257" s="9"/>
      <c r="D257" s="9"/>
      <c r="E257" s="19"/>
      <c r="F257" s="19"/>
      <c r="G257" s="19"/>
      <c r="H257" s="19">
        <v>7.25</v>
      </c>
      <c r="I257" s="19"/>
      <c r="J257" s="19"/>
      <c r="K257" s="12" t="s">
        <v>17</v>
      </c>
      <c r="L257" s="35">
        <f t="shared" si="35"/>
        <v>0</v>
      </c>
      <c r="M257" s="10" t="s">
        <v>60</v>
      </c>
      <c r="N257" s="9" t="s">
        <v>325</v>
      </c>
      <c r="O257" s="10"/>
      <c r="P257" s="9"/>
    </row>
    <row r="258" spans="1:16" ht="12.75" hidden="1" customHeight="1" x14ac:dyDescent="0.2">
      <c r="A258" s="12">
        <v>15</v>
      </c>
      <c r="B258" s="12" t="s">
        <v>23</v>
      </c>
      <c r="C258" s="9"/>
      <c r="D258" s="9"/>
      <c r="E258" s="19"/>
      <c r="F258" s="19"/>
      <c r="G258" s="19"/>
      <c r="H258" s="19">
        <v>7.25</v>
      </c>
      <c r="I258" s="19"/>
      <c r="J258" s="19"/>
      <c r="K258" s="12" t="s">
        <v>17</v>
      </c>
      <c r="L258" s="35">
        <f t="shared" si="35"/>
        <v>0</v>
      </c>
      <c r="M258" s="10" t="s">
        <v>60</v>
      </c>
      <c r="N258" s="9" t="s">
        <v>326</v>
      </c>
      <c r="O258" s="10"/>
      <c r="P258" s="9"/>
    </row>
    <row r="259" spans="1:16" ht="12.75" hidden="1" customHeight="1" x14ac:dyDescent="0.2">
      <c r="A259" s="12">
        <v>15</v>
      </c>
      <c r="B259" s="12" t="s">
        <v>23</v>
      </c>
      <c r="C259" s="9"/>
      <c r="D259" s="9"/>
      <c r="E259" s="19"/>
      <c r="F259" s="19"/>
      <c r="G259" s="19"/>
      <c r="H259" s="19">
        <v>7.25</v>
      </c>
      <c r="I259" s="19"/>
      <c r="J259" s="19"/>
      <c r="K259" s="12" t="s">
        <v>17</v>
      </c>
      <c r="L259" s="35">
        <f t="shared" si="35"/>
        <v>0</v>
      </c>
      <c r="M259" s="10" t="s">
        <v>60</v>
      </c>
      <c r="N259" s="9" t="s">
        <v>327</v>
      </c>
      <c r="O259" s="10"/>
      <c r="P259" s="9"/>
    </row>
    <row r="260" spans="1:16" ht="12.75" hidden="1" customHeight="1" x14ac:dyDescent="0.2">
      <c r="A260" s="12">
        <v>15</v>
      </c>
      <c r="B260" s="12" t="s">
        <v>23</v>
      </c>
      <c r="C260" s="9"/>
      <c r="D260" s="9"/>
      <c r="E260" s="19"/>
      <c r="F260" s="19"/>
      <c r="G260" s="19"/>
      <c r="H260" s="19">
        <v>7.25</v>
      </c>
      <c r="I260" s="19"/>
      <c r="J260" s="19"/>
      <c r="K260" s="12" t="s">
        <v>17</v>
      </c>
      <c r="L260" s="35">
        <f t="shared" si="35"/>
        <v>0</v>
      </c>
      <c r="M260" s="10" t="s">
        <v>60</v>
      </c>
      <c r="N260" s="9" t="s">
        <v>328</v>
      </c>
      <c r="O260" s="10"/>
      <c r="P260" s="9"/>
    </row>
    <row r="261" spans="1:16" ht="12.75" hidden="1" customHeight="1" x14ac:dyDescent="0.2">
      <c r="A261" s="12">
        <v>15</v>
      </c>
      <c r="B261" s="12" t="s">
        <v>23</v>
      </c>
      <c r="C261" s="9"/>
      <c r="D261" s="9"/>
      <c r="E261" s="19"/>
      <c r="F261" s="19"/>
      <c r="G261" s="19"/>
      <c r="H261" s="19">
        <v>7.25</v>
      </c>
      <c r="I261" s="19"/>
      <c r="J261" s="19"/>
      <c r="K261" s="12" t="s">
        <v>17</v>
      </c>
      <c r="L261" s="35">
        <f t="shared" si="35"/>
        <v>0</v>
      </c>
      <c r="M261" s="10" t="s">
        <v>60</v>
      </c>
      <c r="N261" s="9" t="s">
        <v>329</v>
      </c>
      <c r="O261" s="10"/>
      <c r="P261" s="9"/>
    </row>
    <row r="262" spans="1:16" hidden="1" x14ac:dyDescent="0.2">
      <c r="A262" s="12">
        <v>15</v>
      </c>
      <c r="B262" s="12" t="s">
        <v>23</v>
      </c>
      <c r="C262" s="19"/>
      <c r="D262" s="9"/>
      <c r="E262" s="19"/>
      <c r="F262" s="19"/>
      <c r="G262" s="19"/>
      <c r="H262" s="19">
        <v>7.25</v>
      </c>
      <c r="I262" s="19"/>
      <c r="J262" s="19"/>
      <c r="K262" s="12" t="s">
        <v>17</v>
      </c>
      <c r="L262" s="35">
        <f t="shared" ref="L262" si="37">SUBTOTAL(9,C262:J262)</f>
        <v>0</v>
      </c>
      <c r="M262" s="10" t="s">
        <v>60</v>
      </c>
      <c r="N262" s="9" t="s">
        <v>330</v>
      </c>
      <c r="O262" s="10"/>
      <c r="P262" s="9"/>
    </row>
    <row r="263" spans="1:16" hidden="1" x14ac:dyDescent="0.2">
      <c r="A263" s="12">
        <v>15</v>
      </c>
      <c r="B263" s="12" t="s">
        <v>23</v>
      </c>
      <c r="C263" s="19"/>
      <c r="D263" s="9"/>
      <c r="E263" s="19"/>
      <c r="F263" s="19"/>
      <c r="G263" s="19"/>
      <c r="H263" s="19">
        <v>7.25</v>
      </c>
      <c r="I263" s="19"/>
      <c r="J263" s="19"/>
      <c r="K263" s="12" t="s">
        <v>17</v>
      </c>
      <c r="L263" s="35">
        <f t="shared" ref="L263:L272" si="38">SUBTOTAL(9,C263:J263)</f>
        <v>0</v>
      </c>
      <c r="M263" s="10" t="s">
        <v>60</v>
      </c>
      <c r="N263" s="9" t="s">
        <v>331</v>
      </c>
      <c r="O263" s="10"/>
      <c r="P263" s="9"/>
    </row>
    <row r="264" spans="1:16" hidden="1" x14ac:dyDescent="0.2">
      <c r="A264" s="12">
        <v>15</v>
      </c>
      <c r="B264" s="12" t="s">
        <v>23</v>
      </c>
      <c r="C264" s="19"/>
      <c r="D264" s="9"/>
      <c r="E264" s="19"/>
      <c r="F264" s="19"/>
      <c r="G264" s="19"/>
      <c r="H264" s="19">
        <v>7.25</v>
      </c>
      <c r="I264" s="19"/>
      <c r="J264" s="19"/>
      <c r="K264" s="12" t="s">
        <v>17</v>
      </c>
      <c r="L264" s="35">
        <f t="shared" si="38"/>
        <v>0</v>
      </c>
      <c r="M264" s="10" t="s">
        <v>60</v>
      </c>
      <c r="N264" s="9" t="s">
        <v>332</v>
      </c>
      <c r="O264" s="10"/>
      <c r="P264" s="9"/>
    </row>
    <row r="265" spans="1:16" hidden="1" x14ac:dyDescent="0.2">
      <c r="A265" s="12">
        <v>15</v>
      </c>
      <c r="B265" s="12" t="s">
        <v>23</v>
      </c>
      <c r="C265" s="19"/>
      <c r="D265" s="9"/>
      <c r="E265" s="19"/>
      <c r="F265" s="19"/>
      <c r="G265" s="19"/>
      <c r="H265" s="19">
        <v>7.25</v>
      </c>
      <c r="I265" s="19"/>
      <c r="J265" s="19"/>
      <c r="K265" s="12" t="s">
        <v>17</v>
      </c>
      <c r="L265" s="35">
        <f t="shared" si="38"/>
        <v>0</v>
      </c>
      <c r="M265" s="10" t="s">
        <v>60</v>
      </c>
      <c r="N265" s="9" t="s">
        <v>333</v>
      </c>
      <c r="O265" s="10"/>
      <c r="P265" s="9"/>
    </row>
    <row r="266" spans="1:16" hidden="1" x14ac:dyDescent="0.2">
      <c r="A266" s="12">
        <v>15</v>
      </c>
      <c r="B266" s="12" t="s">
        <v>23</v>
      </c>
      <c r="C266" s="19"/>
      <c r="D266" s="9"/>
      <c r="E266" s="19"/>
      <c r="F266" s="19"/>
      <c r="G266" s="19"/>
      <c r="H266" s="19">
        <v>7.25</v>
      </c>
      <c r="I266" s="19"/>
      <c r="J266" s="19"/>
      <c r="K266" s="12" t="s">
        <v>17</v>
      </c>
      <c r="L266" s="35">
        <f t="shared" si="38"/>
        <v>0</v>
      </c>
      <c r="M266" s="10" t="s">
        <v>60</v>
      </c>
      <c r="N266" s="9" t="s">
        <v>334</v>
      </c>
      <c r="O266" s="10"/>
      <c r="P266" s="9"/>
    </row>
    <row r="267" spans="1:16" hidden="1" x14ac:dyDescent="0.2">
      <c r="A267" s="12">
        <v>15</v>
      </c>
      <c r="B267" s="12" t="s">
        <v>23</v>
      </c>
      <c r="C267" s="19"/>
      <c r="D267" s="9"/>
      <c r="E267" s="19"/>
      <c r="F267" s="19"/>
      <c r="G267" s="19"/>
      <c r="H267" s="19">
        <v>7.25</v>
      </c>
      <c r="I267" s="19"/>
      <c r="J267" s="19"/>
      <c r="K267" s="12" t="s">
        <v>17</v>
      </c>
      <c r="L267" s="35">
        <f t="shared" si="38"/>
        <v>0</v>
      </c>
      <c r="M267" s="10" t="s">
        <v>58</v>
      </c>
      <c r="N267" s="9" t="s">
        <v>335</v>
      </c>
      <c r="O267" s="10"/>
      <c r="P267" s="9"/>
    </row>
    <row r="268" spans="1:16" hidden="1" x14ac:dyDescent="0.2">
      <c r="A268" s="12">
        <v>15</v>
      </c>
      <c r="B268" s="12" t="s">
        <v>23</v>
      </c>
      <c r="C268" s="19"/>
      <c r="D268" s="9"/>
      <c r="E268" s="19"/>
      <c r="F268" s="19"/>
      <c r="G268" s="19"/>
      <c r="H268" s="19">
        <v>6</v>
      </c>
      <c r="I268" s="19"/>
      <c r="J268" s="19">
        <v>0.9</v>
      </c>
      <c r="K268" s="12" t="s">
        <v>16</v>
      </c>
      <c r="L268" s="35">
        <f t="shared" si="38"/>
        <v>0</v>
      </c>
      <c r="M268" s="10" t="s">
        <v>58</v>
      </c>
      <c r="N268" s="9" t="s">
        <v>277</v>
      </c>
      <c r="O268" s="10"/>
      <c r="P268" s="9"/>
    </row>
    <row r="269" spans="1:16" hidden="1" x14ac:dyDescent="0.2">
      <c r="A269" s="12">
        <v>15</v>
      </c>
      <c r="B269" s="12" t="s">
        <v>23</v>
      </c>
      <c r="C269" s="9"/>
      <c r="D269" s="9"/>
      <c r="E269" s="19"/>
      <c r="F269" s="19"/>
      <c r="G269" s="19"/>
      <c r="H269" s="19">
        <v>6.75</v>
      </c>
      <c r="I269" s="19"/>
      <c r="J269" s="19"/>
      <c r="K269" s="12" t="s">
        <v>16</v>
      </c>
      <c r="L269" s="35">
        <f t="shared" si="38"/>
        <v>0</v>
      </c>
      <c r="M269" s="10" t="s">
        <v>58</v>
      </c>
      <c r="N269" s="9" t="s">
        <v>149</v>
      </c>
      <c r="O269" s="10"/>
      <c r="P269" s="9"/>
    </row>
    <row r="270" spans="1:16" hidden="1" x14ac:dyDescent="0.2">
      <c r="A270" s="12">
        <v>15</v>
      </c>
      <c r="B270" s="12" t="s">
        <v>23</v>
      </c>
      <c r="C270" s="19"/>
      <c r="D270" s="9"/>
      <c r="E270" s="19"/>
      <c r="F270" s="19"/>
      <c r="G270" s="19"/>
      <c r="H270" s="19">
        <v>10.25</v>
      </c>
      <c r="I270" s="19"/>
      <c r="J270" s="19">
        <v>1.53</v>
      </c>
      <c r="K270" s="12" t="s">
        <v>16</v>
      </c>
      <c r="L270" s="35">
        <f t="shared" si="38"/>
        <v>0</v>
      </c>
      <c r="M270" s="10" t="s">
        <v>58</v>
      </c>
      <c r="N270" s="9" t="s">
        <v>321</v>
      </c>
      <c r="O270" s="10"/>
      <c r="P270" s="9"/>
    </row>
    <row r="271" spans="1:16" hidden="1" x14ac:dyDescent="0.2">
      <c r="A271" s="12">
        <v>15</v>
      </c>
      <c r="B271" s="12" t="s">
        <v>23</v>
      </c>
      <c r="C271" s="19"/>
      <c r="D271" s="9"/>
      <c r="E271" s="19"/>
      <c r="F271" s="19"/>
      <c r="G271" s="19"/>
      <c r="H271" s="19">
        <v>17.75</v>
      </c>
      <c r="I271" s="19"/>
      <c r="J271" s="19">
        <v>2.13</v>
      </c>
      <c r="K271" s="12" t="s">
        <v>16</v>
      </c>
      <c r="L271" s="35">
        <f t="shared" si="38"/>
        <v>0</v>
      </c>
      <c r="M271" s="10" t="s">
        <v>58</v>
      </c>
      <c r="N271" s="9" t="s">
        <v>336</v>
      </c>
      <c r="O271" s="10"/>
      <c r="P271" s="9"/>
    </row>
    <row r="272" spans="1:16" ht="12" hidden="1" customHeight="1" x14ac:dyDescent="0.2">
      <c r="A272" s="12">
        <v>15</v>
      </c>
      <c r="B272" s="12" t="s">
        <v>20</v>
      </c>
      <c r="C272" s="19">
        <f>15+180</f>
        <v>195</v>
      </c>
      <c r="D272" s="9"/>
      <c r="E272" s="19"/>
      <c r="F272" s="19"/>
      <c r="G272" s="19">
        <f>14+7</f>
        <v>21</v>
      </c>
      <c r="H272" s="19"/>
      <c r="I272" s="19"/>
      <c r="J272" s="19">
        <v>25.92</v>
      </c>
      <c r="K272" s="12" t="s">
        <v>16</v>
      </c>
      <c r="L272" s="35">
        <f t="shared" si="38"/>
        <v>0</v>
      </c>
      <c r="M272" s="10" t="s">
        <v>58</v>
      </c>
      <c r="N272" s="9" t="s">
        <v>337</v>
      </c>
      <c r="O272" s="10"/>
      <c r="P272" s="9"/>
    </row>
    <row r="273" spans="1:16" hidden="1" x14ac:dyDescent="0.2">
      <c r="A273" s="12">
        <v>15</v>
      </c>
      <c r="B273" s="12" t="s">
        <v>23</v>
      </c>
      <c r="C273" s="19"/>
      <c r="D273" s="9"/>
      <c r="E273" s="19"/>
      <c r="F273" s="19"/>
      <c r="G273" s="19"/>
      <c r="H273" s="19">
        <v>22.45</v>
      </c>
      <c r="I273" s="19"/>
      <c r="J273" s="19">
        <v>2.7</v>
      </c>
      <c r="K273" s="12" t="s">
        <v>16</v>
      </c>
      <c r="L273" s="35">
        <f>SUBTOTAL(9,C273:J273)</f>
        <v>0</v>
      </c>
      <c r="M273" s="10" t="s">
        <v>58</v>
      </c>
      <c r="N273" s="9" t="s">
        <v>110</v>
      </c>
      <c r="O273" s="10"/>
      <c r="P273" s="9"/>
    </row>
    <row r="274" spans="1:16" hidden="1" x14ac:dyDescent="0.2">
      <c r="A274" s="12">
        <v>15</v>
      </c>
      <c r="B274" s="12" t="s">
        <v>23</v>
      </c>
      <c r="C274" s="19"/>
      <c r="D274" s="9"/>
      <c r="E274" s="19"/>
      <c r="F274" s="19"/>
      <c r="G274" s="19"/>
      <c r="H274" s="19">
        <v>12.95</v>
      </c>
      <c r="I274" s="19"/>
      <c r="J274" s="19"/>
      <c r="K274" s="12" t="s">
        <v>16</v>
      </c>
      <c r="L274" s="35">
        <f t="shared" ref="L274:L276" si="39">SUBTOTAL(9,C274:J274)</f>
        <v>0</v>
      </c>
      <c r="M274" s="10" t="s">
        <v>58</v>
      </c>
      <c r="N274" s="9" t="s">
        <v>338</v>
      </c>
      <c r="O274" s="10"/>
      <c r="P274" s="9"/>
    </row>
    <row r="275" spans="1:16" hidden="1" x14ac:dyDescent="0.2">
      <c r="A275" s="12">
        <v>15</v>
      </c>
      <c r="B275" s="12" t="s">
        <v>23</v>
      </c>
      <c r="C275" s="19"/>
      <c r="D275" s="9"/>
      <c r="E275" s="19"/>
      <c r="F275" s="19"/>
      <c r="G275" s="19"/>
      <c r="H275" s="19">
        <v>4.75</v>
      </c>
      <c r="I275" s="19"/>
      <c r="J275" s="19">
        <v>0.6</v>
      </c>
      <c r="K275" s="12" t="s">
        <v>16</v>
      </c>
      <c r="L275" s="35">
        <f t="shared" si="39"/>
        <v>0</v>
      </c>
      <c r="M275" s="10" t="s">
        <v>58</v>
      </c>
      <c r="N275" s="9" t="s">
        <v>339</v>
      </c>
      <c r="O275" s="10"/>
      <c r="P275" s="9"/>
    </row>
    <row r="276" spans="1:16" hidden="1" x14ac:dyDescent="0.2">
      <c r="A276" s="12">
        <v>15</v>
      </c>
      <c r="B276" s="12" t="s">
        <v>23</v>
      </c>
      <c r="C276" s="19"/>
      <c r="D276" s="9"/>
      <c r="E276" s="19"/>
      <c r="F276" s="19"/>
      <c r="G276" s="19"/>
      <c r="H276" s="19">
        <v>16</v>
      </c>
      <c r="I276" s="19"/>
      <c r="J276" s="19">
        <v>1.9</v>
      </c>
      <c r="K276" s="12" t="s">
        <v>16</v>
      </c>
      <c r="L276" s="35">
        <f t="shared" si="39"/>
        <v>0</v>
      </c>
      <c r="M276" s="10" t="s">
        <v>58</v>
      </c>
      <c r="N276" s="9" t="s">
        <v>199</v>
      </c>
      <c r="O276" s="10"/>
      <c r="P276" s="9"/>
    </row>
    <row r="277" spans="1:16" hidden="1" x14ac:dyDescent="0.2">
      <c r="A277" s="12">
        <v>16</v>
      </c>
      <c r="B277" s="12" t="s">
        <v>23</v>
      </c>
      <c r="C277" s="19">
        <v>47.9</v>
      </c>
      <c r="D277" s="9"/>
      <c r="E277" s="19"/>
      <c r="F277" s="19"/>
      <c r="G277" s="19"/>
      <c r="H277" s="19"/>
      <c r="I277" s="19"/>
      <c r="J277" s="19">
        <v>7.18</v>
      </c>
      <c r="K277" s="12" t="s">
        <v>16</v>
      </c>
      <c r="L277" s="35">
        <f t="shared" ref="L277" si="40">SUBTOTAL(9,C277:J277)</f>
        <v>0</v>
      </c>
      <c r="M277" s="10" t="s">
        <v>58</v>
      </c>
      <c r="N277" s="9" t="s">
        <v>340</v>
      </c>
      <c r="O277" s="10"/>
      <c r="P277" s="9"/>
    </row>
    <row r="278" spans="1:16" hidden="1" x14ac:dyDescent="0.2">
      <c r="A278" s="12">
        <v>16</v>
      </c>
      <c r="B278" s="12" t="s">
        <v>23</v>
      </c>
      <c r="C278" s="19">
        <v>19.7</v>
      </c>
      <c r="D278" s="9"/>
      <c r="E278" s="19"/>
      <c r="F278" s="19"/>
      <c r="G278" s="19"/>
      <c r="H278" s="19"/>
      <c r="I278" s="19"/>
      <c r="J278" s="19">
        <v>2.96</v>
      </c>
      <c r="K278" s="12" t="s">
        <v>16</v>
      </c>
      <c r="L278" s="35">
        <f t="shared" ref="L278:L307" si="41">SUBTOTAL(9,C278:J278)</f>
        <v>0</v>
      </c>
      <c r="M278" s="10" t="s">
        <v>58</v>
      </c>
      <c r="N278" s="9" t="s">
        <v>149</v>
      </c>
      <c r="O278" s="10"/>
      <c r="P278" s="9"/>
    </row>
    <row r="279" spans="1:16" hidden="1" x14ac:dyDescent="0.2">
      <c r="A279" s="12">
        <v>16</v>
      </c>
      <c r="B279" s="12" t="s">
        <v>23</v>
      </c>
      <c r="C279" s="19">
        <f>5.99*4</f>
        <v>23.96</v>
      </c>
      <c r="D279" s="9"/>
      <c r="E279" s="19"/>
      <c r="F279" s="19"/>
      <c r="G279" s="19"/>
      <c r="H279" s="19">
        <f>5.75+2.25+2.25+2.25+2.17+17</f>
        <v>31.67</v>
      </c>
      <c r="I279" s="19"/>
      <c r="J279" s="19"/>
      <c r="K279" s="12" t="s">
        <v>16</v>
      </c>
      <c r="L279" s="35">
        <f t="shared" si="41"/>
        <v>0</v>
      </c>
      <c r="M279" s="10" t="s">
        <v>58</v>
      </c>
      <c r="N279" s="9" t="s">
        <v>150</v>
      </c>
      <c r="O279" s="10"/>
      <c r="P279" s="9"/>
    </row>
    <row r="280" spans="1:16" hidden="1" x14ac:dyDescent="0.2">
      <c r="A280" s="12">
        <v>16</v>
      </c>
      <c r="B280" s="12" t="s">
        <v>23</v>
      </c>
      <c r="C280" s="19">
        <v>6</v>
      </c>
      <c r="D280" s="9"/>
      <c r="E280" s="19"/>
      <c r="F280" s="19"/>
      <c r="G280" s="19"/>
      <c r="H280" s="19"/>
      <c r="I280" s="19"/>
      <c r="J280" s="19">
        <v>0.9</v>
      </c>
      <c r="K280" s="12" t="s">
        <v>16</v>
      </c>
      <c r="L280" s="35">
        <f t="shared" si="41"/>
        <v>0</v>
      </c>
      <c r="M280" s="10" t="s">
        <v>58</v>
      </c>
      <c r="N280" s="9" t="s">
        <v>109</v>
      </c>
      <c r="O280" s="10"/>
      <c r="P280" s="9"/>
    </row>
    <row r="281" spans="1:16" hidden="1" x14ac:dyDescent="0.2">
      <c r="A281" s="12">
        <v>16</v>
      </c>
      <c r="B281" s="12" t="s">
        <v>23</v>
      </c>
      <c r="C281" s="19">
        <v>11.5</v>
      </c>
      <c r="D281" s="9"/>
      <c r="E281" s="19"/>
      <c r="F281" s="19"/>
      <c r="G281" s="19"/>
      <c r="H281" s="19"/>
      <c r="I281" s="19"/>
      <c r="J281" s="19">
        <v>1.73</v>
      </c>
      <c r="K281" s="12" t="s">
        <v>16</v>
      </c>
      <c r="L281" s="35">
        <f t="shared" si="41"/>
        <v>0</v>
      </c>
      <c r="M281" s="10" t="s">
        <v>58</v>
      </c>
      <c r="N281" s="9" t="s">
        <v>341</v>
      </c>
      <c r="O281" s="10"/>
      <c r="P281" s="9"/>
    </row>
    <row r="282" spans="1:16" hidden="1" x14ac:dyDescent="0.2">
      <c r="A282" s="12">
        <v>16</v>
      </c>
      <c r="B282" s="12" t="s">
        <v>23</v>
      </c>
      <c r="C282" s="19">
        <v>22.75</v>
      </c>
      <c r="D282" s="9"/>
      <c r="E282" s="19"/>
      <c r="F282" s="19"/>
      <c r="G282" s="19"/>
      <c r="H282" s="19"/>
      <c r="I282" s="19"/>
      <c r="J282" s="19">
        <v>3.41</v>
      </c>
      <c r="K282" s="12" t="s">
        <v>16</v>
      </c>
      <c r="L282" s="35">
        <f t="shared" si="41"/>
        <v>0</v>
      </c>
      <c r="M282" s="10" t="s">
        <v>58</v>
      </c>
      <c r="N282" s="9" t="s">
        <v>342</v>
      </c>
      <c r="O282" s="10"/>
      <c r="P282" s="9"/>
    </row>
    <row r="283" spans="1:16" hidden="1" x14ac:dyDescent="0.2">
      <c r="A283" s="12">
        <v>16</v>
      </c>
      <c r="B283" s="12" t="s">
        <v>20</v>
      </c>
      <c r="C283" s="9">
        <f>333.25-G283</f>
        <v>291.25</v>
      </c>
      <c r="D283" s="9"/>
      <c r="E283" s="19"/>
      <c r="F283" s="19"/>
      <c r="G283" s="19">
        <f>14+28</f>
        <v>42</v>
      </c>
      <c r="H283" s="19"/>
      <c r="I283" s="19"/>
      <c r="J283" s="19">
        <v>49.99</v>
      </c>
      <c r="K283" s="12" t="s">
        <v>16</v>
      </c>
      <c r="L283" s="35">
        <f t="shared" si="41"/>
        <v>0</v>
      </c>
      <c r="M283" s="10" t="s">
        <v>58</v>
      </c>
      <c r="N283" s="9" t="s">
        <v>343</v>
      </c>
      <c r="O283" s="10"/>
      <c r="P283" s="9"/>
    </row>
    <row r="284" spans="1:16" hidden="1" x14ac:dyDescent="0.2">
      <c r="A284" s="12">
        <v>16</v>
      </c>
      <c r="B284" s="12" t="s">
        <v>23</v>
      </c>
      <c r="C284" s="19">
        <v>16.45</v>
      </c>
      <c r="D284" s="9"/>
      <c r="E284" s="19"/>
      <c r="F284" s="19"/>
      <c r="G284" s="19"/>
      <c r="H284" s="19"/>
      <c r="I284" s="19"/>
      <c r="J284" s="19">
        <v>2</v>
      </c>
      <c r="K284" s="12" t="s">
        <v>16</v>
      </c>
      <c r="L284" s="35">
        <f t="shared" si="41"/>
        <v>0</v>
      </c>
      <c r="M284" s="10" t="s">
        <v>58</v>
      </c>
      <c r="N284" s="9" t="s">
        <v>344</v>
      </c>
      <c r="O284" s="10"/>
      <c r="P284" s="9"/>
    </row>
    <row r="285" spans="1:16" hidden="1" x14ac:dyDescent="0.2">
      <c r="A285" s="12">
        <v>16</v>
      </c>
      <c r="B285" s="12" t="s">
        <v>23</v>
      </c>
      <c r="C285" s="19">
        <v>9.5</v>
      </c>
      <c r="D285" s="9"/>
      <c r="E285" s="19"/>
      <c r="F285" s="19"/>
      <c r="G285" s="19"/>
      <c r="H285" s="19"/>
      <c r="I285" s="19"/>
      <c r="J285" s="19">
        <v>1.1499999999999999</v>
      </c>
      <c r="K285" s="12" t="s">
        <v>16</v>
      </c>
      <c r="L285" s="35">
        <f t="shared" si="41"/>
        <v>0</v>
      </c>
      <c r="M285" s="10" t="s">
        <v>58</v>
      </c>
      <c r="N285" s="9" t="s">
        <v>112</v>
      </c>
      <c r="O285" s="10"/>
      <c r="P285" s="9"/>
    </row>
    <row r="286" spans="1:16" hidden="1" x14ac:dyDescent="0.2">
      <c r="A286" s="12">
        <v>16</v>
      </c>
      <c r="B286" s="12" t="s">
        <v>23</v>
      </c>
      <c r="C286" s="19"/>
      <c r="D286" s="9"/>
      <c r="E286" s="19"/>
      <c r="F286" s="19"/>
      <c r="G286" s="19"/>
      <c r="H286" s="19">
        <v>8.5</v>
      </c>
      <c r="I286" s="19"/>
      <c r="J286" s="19">
        <v>1.28</v>
      </c>
      <c r="K286" s="12" t="s">
        <v>16</v>
      </c>
      <c r="L286" s="35">
        <f t="shared" si="41"/>
        <v>0</v>
      </c>
      <c r="M286" s="10" t="s">
        <v>58</v>
      </c>
      <c r="N286" s="9" t="s">
        <v>344</v>
      </c>
      <c r="O286" s="10"/>
      <c r="P286" s="9"/>
    </row>
    <row r="287" spans="1:16" hidden="1" x14ac:dyDescent="0.2">
      <c r="A287" s="12">
        <v>16</v>
      </c>
      <c r="B287" s="12" t="s">
        <v>20</v>
      </c>
      <c r="C287" s="19">
        <f>22+12.95+9</f>
        <v>43.95</v>
      </c>
      <c r="D287" s="9"/>
      <c r="E287" s="19"/>
      <c r="F287" s="19"/>
      <c r="G287" s="19">
        <f>4.25*3</f>
        <v>12.75</v>
      </c>
      <c r="I287" s="19"/>
      <c r="J287" s="19">
        <v>7</v>
      </c>
      <c r="K287" s="12" t="s">
        <v>16</v>
      </c>
      <c r="L287" s="35">
        <f t="shared" si="41"/>
        <v>0</v>
      </c>
      <c r="M287" s="10" t="s">
        <v>58</v>
      </c>
      <c r="N287" s="9" t="s">
        <v>345</v>
      </c>
      <c r="O287" s="10"/>
      <c r="P287" s="9"/>
    </row>
    <row r="288" spans="1:16" hidden="1" x14ac:dyDescent="0.2">
      <c r="A288" s="12">
        <v>16</v>
      </c>
      <c r="B288" s="12" t="s">
        <v>20</v>
      </c>
      <c r="C288" s="19">
        <v>28.75</v>
      </c>
      <c r="D288" s="9"/>
      <c r="E288" s="19"/>
      <c r="F288" s="19"/>
      <c r="G288" s="19"/>
      <c r="H288" s="19"/>
      <c r="I288" s="19"/>
      <c r="J288" s="19">
        <v>3.45</v>
      </c>
      <c r="K288" s="12" t="s">
        <v>16</v>
      </c>
      <c r="L288" s="35">
        <f t="shared" si="41"/>
        <v>0</v>
      </c>
      <c r="M288" s="10" t="s">
        <v>58</v>
      </c>
      <c r="N288" s="9" t="s">
        <v>346</v>
      </c>
      <c r="O288" s="10"/>
      <c r="P288" s="9">
        <f>688.68-697.68</f>
        <v>-9</v>
      </c>
    </row>
    <row r="289" spans="1:16" hidden="1" x14ac:dyDescent="0.2">
      <c r="A289" s="12">
        <v>16</v>
      </c>
      <c r="B289" s="12" t="s">
        <v>23</v>
      </c>
      <c r="C289" s="19">
        <v>20.95</v>
      </c>
      <c r="D289" s="9"/>
      <c r="E289" s="19"/>
      <c r="F289" s="19"/>
      <c r="G289" s="19"/>
      <c r="H289" s="19">
        <v>9.5</v>
      </c>
      <c r="I289" s="19"/>
      <c r="J289" s="19"/>
      <c r="K289" s="12" t="s">
        <v>17</v>
      </c>
      <c r="L289" s="35">
        <f t="shared" si="41"/>
        <v>0</v>
      </c>
      <c r="M289" s="10" t="s">
        <v>60</v>
      </c>
      <c r="N289" s="9" t="s">
        <v>347</v>
      </c>
      <c r="O289" s="10"/>
      <c r="P289" s="9"/>
    </row>
    <row r="290" spans="1:16" hidden="1" x14ac:dyDescent="0.2">
      <c r="A290" s="12">
        <v>16</v>
      </c>
      <c r="B290" s="12" t="s">
        <v>23</v>
      </c>
      <c r="C290" s="19"/>
      <c r="D290" s="9"/>
      <c r="E290" s="19"/>
      <c r="F290" s="19"/>
      <c r="G290" s="19"/>
      <c r="H290" s="19">
        <v>22.75</v>
      </c>
      <c r="I290" s="19"/>
      <c r="J290" s="19"/>
      <c r="K290" s="12" t="s">
        <v>17</v>
      </c>
      <c r="L290" s="35">
        <f t="shared" si="41"/>
        <v>0</v>
      </c>
      <c r="M290" s="10" t="s">
        <v>60</v>
      </c>
      <c r="N290" s="9" t="s">
        <v>348</v>
      </c>
      <c r="O290" s="10"/>
      <c r="P290" s="9"/>
    </row>
    <row r="291" spans="1:16" hidden="1" x14ac:dyDescent="0.2">
      <c r="A291" s="12">
        <v>16</v>
      </c>
      <c r="B291" s="12" t="s">
        <v>23</v>
      </c>
      <c r="C291" s="19"/>
      <c r="D291" s="9"/>
      <c r="E291" s="19"/>
      <c r="F291" s="19"/>
      <c r="G291" s="19"/>
      <c r="H291" s="19">
        <v>7.25</v>
      </c>
      <c r="I291" s="19"/>
      <c r="J291" s="19"/>
      <c r="K291" s="12" t="s">
        <v>17</v>
      </c>
      <c r="L291" s="35">
        <f t="shared" si="41"/>
        <v>0</v>
      </c>
      <c r="M291" s="10" t="s">
        <v>60</v>
      </c>
      <c r="N291" s="9" t="s">
        <v>348</v>
      </c>
      <c r="O291" s="10"/>
      <c r="P291" s="9"/>
    </row>
    <row r="292" spans="1:16" hidden="1" x14ac:dyDescent="0.2">
      <c r="A292" s="12">
        <v>16</v>
      </c>
      <c r="B292" s="12" t="s">
        <v>23</v>
      </c>
      <c r="C292" s="19"/>
      <c r="D292" s="9"/>
      <c r="E292" s="19"/>
      <c r="F292" s="19"/>
      <c r="G292" s="19"/>
      <c r="H292" s="19">
        <v>11</v>
      </c>
      <c r="I292" s="19"/>
      <c r="J292" s="19"/>
      <c r="K292" s="12" t="s">
        <v>17</v>
      </c>
      <c r="L292" s="35">
        <f t="shared" si="41"/>
        <v>0</v>
      </c>
      <c r="M292" s="10" t="s">
        <v>60</v>
      </c>
      <c r="N292" s="9" t="s">
        <v>349</v>
      </c>
      <c r="O292" s="10"/>
      <c r="P292" s="9"/>
    </row>
    <row r="293" spans="1:16" hidden="1" x14ac:dyDescent="0.2">
      <c r="A293" s="12">
        <v>16</v>
      </c>
      <c r="B293" s="12" t="s">
        <v>23</v>
      </c>
      <c r="C293" s="19"/>
      <c r="D293" s="9"/>
      <c r="E293" s="19"/>
      <c r="F293" s="19"/>
      <c r="G293" s="19"/>
      <c r="H293" s="19">
        <v>15.49</v>
      </c>
      <c r="I293" s="19"/>
      <c r="J293" s="19"/>
      <c r="K293" s="12" t="s">
        <v>17</v>
      </c>
      <c r="L293" s="35">
        <f t="shared" si="41"/>
        <v>0</v>
      </c>
      <c r="M293" s="10" t="s">
        <v>60</v>
      </c>
      <c r="N293" s="9" t="s">
        <v>350</v>
      </c>
      <c r="O293" s="10"/>
      <c r="P293" s="9"/>
    </row>
    <row r="294" spans="1:16" hidden="1" x14ac:dyDescent="0.2">
      <c r="A294" s="12">
        <v>16</v>
      </c>
      <c r="B294" s="12" t="s">
        <v>23</v>
      </c>
      <c r="C294" s="19">
        <f>4.75+3.5</f>
        <v>8.25</v>
      </c>
      <c r="D294" s="9"/>
      <c r="E294" s="19"/>
      <c r="F294" s="19"/>
      <c r="G294" s="19"/>
      <c r="H294" s="19">
        <v>17</v>
      </c>
      <c r="I294" s="19"/>
      <c r="J294" s="19">
        <v>3.78</v>
      </c>
      <c r="K294" s="12" t="s">
        <v>17</v>
      </c>
      <c r="L294" s="35">
        <f t="shared" si="41"/>
        <v>0</v>
      </c>
      <c r="M294" s="10" t="s">
        <v>60</v>
      </c>
      <c r="N294" s="9" t="s">
        <v>351</v>
      </c>
      <c r="O294" s="10"/>
      <c r="P294" s="9"/>
    </row>
    <row r="295" spans="1:16" hidden="1" x14ac:dyDescent="0.2">
      <c r="A295" s="12">
        <v>16</v>
      </c>
      <c r="B295" s="12" t="s">
        <v>23</v>
      </c>
      <c r="C295" s="19">
        <v>32.75</v>
      </c>
      <c r="D295" s="9"/>
      <c r="E295" s="19"/>
      <c r="F295" s="19"/>
      <c r="G295" s="19"/>
      <c r="H295" s="19"/>
      <c r="I295" s="19"/>
      <c r="J295" s="19">
        <v>4.91</v>
      </c>
      <c r="K295" s="12" t="s">
        <v>17</v>
      </c>
      <c r="L295" s="35">
        <f t="shared" si="41"/>
        <v>0</v>
      </c>
      <c r="M295" s="10" t="s">
        <v>60</v>
      </c>
      <c r="N295" s="9" t="s">
        <v>352</v>
      </c>
      <c r="O295" s="10"/>
      <c r="P295" s="9"/>
    </row>
    <row r="296" spans="1:16" hidden="1" x14ac:dyDescent="0.2">
      <c r="A296" s="12">
        <v>16</v>
      </c>
      <c r="B296" s="12" t="s">
        <v>23</v>
      </c>
      <c r="C296" s="19">
        <v>8.5</v>
      </c>
      <c r="D296" s="9"/>
      <c r="E296" s="19"/>
      <c r="F296" s="19"/>
      <c r="G296" s="19"/>
      <c r="H296" s="19"/>
      <c r="I296" s="19"/>
      <c r="J296" s="19">
        <v>1.28</v>
      </c>
      <c r="K296" s="12" t="s">
        <v>17</v>
      </c>
      <c r="L296" s="35">
        <f t="shared" si="41"/>
        <v>0</v>
      </c>
      <c r="M296" s="10" t="s">
        <v>60</v>
      </c>
      <c r="N296" s="9" t="s">
        <v>353</v>
      </c>
      <c r="O296" s="10"/>
      <c r="P296" s="9"/>
    </row>
    <row r="297" spans="1:16" hidden="1" x14ac:dyDescent="0.2">
      <c r="A297" s="12">
        <v>17</v>
      </c>
      <c r="B297" s="12" t="s">
        <v>23</v>
      </c>
      <c r="C297" s="19"/>
      <c r="D297" s="9"/>
      <c r="E297" s="19"/>
      <c r="F297" s="19"/>
      <c r="G297" s="19"/>
      <c r="H297" s="19">
        <v>23.95</v>
      </c>
      <c r="I297" s="19"/>
      <c r="J297" s="19">
        <v>3.59</v>
      </c>
      <c r="K297" s="12" t="s">
        <v>16</v>
      </c>
      <c r="L297" s="35">
        <f t="shared" si="41"/>
        <v>0</v>
      </c>
      <c r="M297" s="10" t="s">
        <v>58</v>
      </c>
      <c r="N297" s="9" t="s">
        <v>276</v>
      </c>
      <c r="O297" s="10"/>
      <c r="P297" s="9"/>
    </row>
    <row r="298" spans="1:16" hidden="1" x14ac:dyDescent="0.2">
      <c r="A298" s="12">
        <v>17</v>
      </c>
      <c r="B298" s="12" t="s">
        <v>23</v>
      </c>
      <c r="C298" s="19">
        <v>9.5</v>
      </c>
      <c r="D298" s="9"/>
      <c r="E298" s="19"/>
      <c r="F298" s="19"/>
      <c r="G298" s="19"/>
      <c r="H298" s="19"/>
      <c r="I298" s="19"/>
      <c r="J298" s="19">
        <v>1.43</v>
      </c>
      <c r="K298" s="12" t="s">
        <v>16</v>
      </c>
      <c r="L298" s="35">
        <f t="shared" si="41"/>
        <v>0</v>
      </c>
      <c r="M298" s="10" t="s">
        <v>58</v>
      </c>
      <c r="N298" s="9" t="s">
        <v>321</v>
      </c>
      <c r="O298" s="10"/>
      <c r="P298" s="9"/>
    </row>
    <row r="299" spans="1:16" hidden="1" x14ac:dyDescent="0.2">
      <c r="A299" s="12">
        <v>17</v>
      </c>
      <c r="B299" s="12" t="s">
        <v>23</v>
      </c>
      <c r="C299" s="19">
        <v>11</v>
      </c>
      <c r="D299" s="9"/>
      <c r="E299" s="19"/>
      <c r="F299" s="19"/>
      <c r="G299" s="19"/>
      <c r="H299" s="19"/>
      <c r="I299" s="19"/>
      <c r="J299" s="19">
        <v>1.65</v>
      </c>
      <c r="K299" s="12" t="s">
        <v>16</v>
      </c>
      <c r="L299" s="35">
        <f t="shared" si="41"/>
        <v>0</v>
      </c>
      <c r="M299" s="10" t="s">
        <v>58</v>
      </c>
      <c r="N299" s="9" t="s">
        <v>109</v>
      </c>
      <c r="O299" s="10"/>
      <c r="P299" s="9"/>
    </row>
    <row r="300" spans="1:16" hidden="1" x14ac:dyDescent="0.2">
      <c r="A300" s="12">
        <v>17</v>
      </c>
      <c r="B300" s="12" t="s">
        <v>23</v>
      </c>
      <c r="C300" s="19"/>
      <c r="D300" s="9"/>
      <c r="E300" s="19"/>
      <c r="F300" s="19"/>
      <c r="G300" s="19"/>
      <c r="H300" s="19">
        <v>4.25</v>
      </c>
      <c r="I300" s="19"/>
      <c r="J300" s="19"/>
      <c r="K300" s="12" t="s">
        <v>16</v>
      </c>
      <c r="L300" s="35">
        <f t="shared" si="41"/>
        <v>0</v>
      </c>
      <c r="M300" s="10" t="s">
        <v>58</v>
      </c>
      <c r="N300" s="9" t="s">
        <v>321</v>
      </c>
      <c r="O300" s="10"/>
      <c r="P300" s="9"/>
    </row>
    <row r="301" spans="1:16" hidden="1" x14ac:dyDescent="0.2">
      <c r="A301" s="12">
        <v>17</v>
      </c>
      <c r="B301" s="12" t="s">
        <v>23</v>
      </c>
      <c r="C301" s="19">
        <v>15</v>
      </c>
      <c r="D301" s="9"/>
      <c r="E301" s="19"/>
      <c r="F301" s="19"/>
      <c r="G301" s="19"/>
      <c r="H301" s="19"/>
      <c r="I301" s="19"/>
      <c r="J301" s="19">
        <v>1.8</v>
      </c>
      <c r="K301" s="12" t="s">
        <v>16</v>
      </c>
      <c r="L301" s="35">
        <f t="shared" si="41"/>
        <v>0</v>
      </c>
      <c r="M301" s="10" t="s">
        <v>58</v>
      </c>
      <c r="N301" s="9" t="s">
        <v>354</v>
      </c>
      <c r="O301" s="10"/>
      <c r="P301" s="9"/>
    </row>
    <row r="302" spans="1:16" hidden="1" x14ac:dyDescent="0.2">
      <c r="A302" s="12">
        <v>17</v>
      </c>
      <c r="B302" s="12" t="s">
        <v>23</v>
      </c>
      <c r="C302" s="19">
        <v>15</v>
      </c>
      <c r="D302" s="9"/>
      <c r="E302" s="19"/>
      <c r="F302" s="19"/>
      <c r="G302" s="19"/>
      <c r="H302" s="19"/>
      <c r="I302" s="19"/>
      <c r="J302" s="19">
        <v>1.85</v>
      </c>
      <c r="K302" s="12" t="s">
        <v>16</v>
      </c>
      <c r="L302" s="35">
        <f t="shared" si="41"/>
        <v>0</v>
      </c>
      <c r="M302" s="10" t="s">
        <v>58</v>
      </c>
      <c r="N302" s="9" t="s">
        <v>151</v>
      </c>
      <c r="O302" s="10"/>
      <c r="P302" s="9"/>
    </row>
    <row r="303" spans="1:16" hidden="1" x14ac:dyDescent="0.2">
      <c r="A303" s="12">
        <v>17</v>
      </c>
      <c r="B303" s="12" t="s">
        <v>23</v>
      </c>
      <c r="C303" s="19">
        <v>6.5</v>
      </c>
      <c r="D303" s="9"/>
      <c r="E303" s="19"/>
      <c r="F303" s="19"/>
      <c r="G303" s="19"/>
      <c r="H303" s="19"/>
      <c r="I303" s="19"/>
      <c r="J303" s="19">
        <v>0.8</v>
      </c>
      <c r="K303" s="12" t="s">
        <v>16</v>
      </c>
      <c r="L303" s="35">
        <f t="shared" si="41"/>
        <v>0</v>
      </c>
      <c r="M303" s="10" t="s">
        <v>58</v>
      </c>
      <c r="N303" s="9" t="s">
        <v>151</v>
      </c>
      <c r="O303" s="10"/>
      <c r="P303" s="9"/>
    </row>
    <row r="304" spans="1:16" hidden="1" x14ac:dyDescent="0.2">
      <c r="A304" s="12">
        <v>17</v>
      </c>
      <c r="B304" s="12" t="s">
        <v>23</v>
      </c>
      <c r="C304" s="19">
        <v>19.5</v>
      </c>
      <c r="D304" s="9"/>
      <c r="E304" s="19"/>
      <c r="F304" s="19"/>
      <c r="G304" s="19"/>
      <c r="H304" s="19"/>
      <c r="I304" s="19"/>
      <c r="J304" s="19">
        <v>2.5</v>
      </c>
      <c r="K304" s="12" t="s">
        <v>16</v>
      </c>
      <c r="L304" s="35">
        <f t="shared" si="41"/>
        <v>0</v>
      </c>
      <c r="M304" s="10" t="s">
        <v>58</v>
      </c>
      <c r="N304" s="9" t="s">
        <v>112</v>
      </c>
      <c r="O304" s="10"/>
      <c r="P304" s="9"/>
    </row>
    <row r="305" spans="1:16" hidden="1" x14ac:dyDescent="0.2">
      <c r="A305" s="12">
        <v>17</v>
      </c>
      <c r="B305" s="12" t="s">
        <v>20</v>
      </c>
      <c r="C305" s="19">
        <v>80</v>
      </c>
      <c r="D305" s="9"/>
      <c r="E305" s="19"/>
      <c r="F305" s="19"/>
      <c r="G305" s="19"/>
      <c r="H305" s="19"/>
      <c r="I305" s="19"/>
      <c r="J305" s="19">
        <v>9.6</v>
      </c>
      <c r="K305" s="12" t="s">
        <v>16</v>
      </c>
      <c r="L305" s="35">
        <f t="shared" si="41"/>
        <v>0</v>
      </c>
      <c r="M305" s="10" t="s">
        <v>58</v>
      </c>
      <c r="N305" s="9" t="s">
        <v>355</v>
      </c>
      <c r="O305" s="10"/>
      <c r="P305" s="9"/>
    </row>
    <row r="306" spans="1:16" hidden="1" x14ac:dyDescent="0.2">
      <c r="A306" s="12">
        <v>17</v>
      </c>
      <c r="B306" s="12" t="s">
        <v>20</v>
      </c>
      <c r="C306" s="19">
        <v>80</v>
      </c>
      <c r="D306" s="9"/>
      <c r="E306" s="19"/>
      <c r="F306" s="19"/>
      <c r="G306" s="19">
        <v>7</v>
      </c>
      <c r="H306" s="19"/>
      <c r="I306" s="19"/>
      <c r="J306" s="19">
        <v>10.44</v>
      </c>
      <c r="K306" s="12" t="s">
        <v>16</v>
      </c>
      <c r="L306" s="35">
        <f t="shared" si="41"/>
        <v>0</v>
      </c>
      <c r="M306" s="10" t="s">
        <v>58</v>
      </c>
      <c r="N306" s="9" t="s">
        <v>109</v>
      </c>
      <c r="O306" s="10"/>
      <c r="P306" s="9"/>
    </row>
    <row r="307" spans="1:16" hidden="1" x14ac:dyDescent="0.2">
      <c r="A307" s="12">
        <v>17</v>
      </c>
      <c r="B307" s="12" t="s">
        <v>20</v>
      </c>
      <c r="C307" s="19">
        <f>32+39+17+15+9+6</f>
        <v>118</v>
      </c>
      <c r="D307" s="9">
        <v>56</v>
      </c>
      <c r="E307" s="19"/>
      <c r="F307" s="19"/>
      <c r="G307" s="19"/>
      <c r="H307" s="19"/>
      <c r="I307" s="19"/>
      <c r="J307" s="19">
        <v>26.1</v>
      </c>
      <c r="K307" s="12" t="s">
        <v>16</v>
      </c>
      <c r="L307" s="35">
        <f t="shared" si="41"/>
        <v>0</v>
      </c>
      <c r="M307" s="10" t="s">
        <v>58</v>
      </c>
      <c r="N307" s="9" t="s">
        <v>292</v>
      </c>
      <c r="O307" s="10"/>
      <c r="P307" s="9"/>
    </row>
    <row r="308" spans="1:16" hidden="1" x14ac:dyDescent="0.2">
      <c r="A308" s="12">
        <v>17</v>
      </c>
      <c r="B308" s="12" t="s">
        <v>23</v>
      </c>
      <c r="C308" s="19"/>
      <c r="D308" s="9"/>
      <c r="E308" s="19"/>
      <c r="F308" s="19"/>
      <c r="G308" s="19"/>
      <c r="H308" s="19">
        <v>58.7</v>
      </c>
      <c r="I308" s="19"/>
      <c r="J308" s="19"/>
      <c r="K308" s="12" t="s">
        <v>17</v>
      </c>
      <c r="L308" s="35">
        <f t="shared" ref="L308" si="42">SUBTOTAL(9,C308:J308)</f>
        <v>0</v>
      </c>
      <c r="M308" s="10" t="s">
        <v>60</v>
      </c>
      <c r="N308" s="9" t="s">
        <v>356</v>
      </c>
      <c r="O308" s="10"/>
      <c r="P308" s="9"/>
    </row>
    <row r="309" spans="1:16" hidden="1" x14ac:dyDescent="0.2">
      <c r="A309" s="12">
        <v>17</v>
      </c>
      <c r="B309" s="12" t="s">
        <v>23</v>
      </c>
      <c r="C309" s="19"/>
      <c r="D309" s="9"/>
      <c r="E309" s="19"/>
      <c r="F309" s="19"/>
      <c r="G309" s="19"/>
      <c r="H309" s="19">
        <v>19.239999999999998</v>
      </c>
      <c r="I309" s="19"/>
      <c r="J309" s="19"/>
      <c r="K309" s="12" t="s">
        <v>17</v>
      </c>
      <c r="L309" s="35">
        <f t="shared" ref="L309:L311" si="43">SUBTOTAL(9,C309:J309)</f>
        <v>0</v>
      </c>
      <c r="M309" s="10" t="s">
        <v>60</v>
      </c>
      <c r="N309" s="9" t="s">
        <v>357</v>
      </c>
      <c r="O309" s="10"/>
      <c r="P309" s="9"/>
    </row>
    <row r="310" spans="1:16" hidden="1" x14ac:dyDescent="0.2">
      <c r="A310" s="12">
        <v>17</v>
      </c>
      <c r="B310" s="12" t="s">
        <v>23</v>
      </c>
      <c r="C310" s="19"/>
      <c r="D310" s="9"/>
      <c r="E310" s="19"/>
      <c r="F310" s="19"/>
      <c r="G310" s="19"/>
      <c r="H310" s="19">
        <v>19.239999999999998</v>
      </c>
      <c r="I310" s="19"/>
      <c r="J310" s="19"/>
      <c r="K310" s="12" t="s">
        <v>17</v>
      </c>
      <c r="L310" s="35">
        <f t="shared" si="43"/>
        <v>0</v>
      </c>
      <c r="M310" s="10" t="s">
        <v>60</v>
      </c>
      <c r="N310" s="9" t="s">
        <v>358</v>
      </c>
      <c r="O310" s="10"/>
      <c r="P310" s="9"/>
    </row>
    <row r="311" spans="1:16" hidden="1" x14ac:dyDescent="0.2">
      <c r="A311" s="12">
        <v>17</v>
      </c>
      <c r="B311" s="12" t="s">
        <v>23</v>
      </c>
      <c r="C311" s="19"/>
      <c r="D311" s="9"/>
      <c r="E311" s="19"/>
      <c r="F311" s="19"/>
      <c r="G311" s="19"/>
      <c r="H311" s="19">
        <v>19.239999999999998</v>
      </c>
      <c r="I311" s="19"/>
      <c r="J311" s="19"/>
      <c r="K311" s="12" t="s">
        <v>17</v>
      </c>
      <c r="L311" s="35">
        <f t="shared" si="43"/>
        <v>0</v>
      </c>
      <c r="M311" s="10" t="s">
        <v>60</v>
      </c>
      <c r="N311" s="9" t="s">
        <v>359</v>
      </c>
      <c r="O311" s="10"/>
      <c r="P311" s="9"/>
    </row>
    <row r="312" spans="1:16" hidden="1" x14ac:dyDescent="0.2">
      <c r="A312" s="12">
        <v>17</v>
      </c>
      <c r="B312" s="12" t="s">
        <v>23</v>
      </c>
      <c r="C312" s="19">
        <v>6</v>
      </c>
      <c r="D312" s="9"/>
      <c r="E312" s="19"/>
      <c r="F312" s="19"/>
      <c r="G312" s="19"/>
      <c r="H312" s="19">
        <v>4.25</v>
      </c>
      <c r="I312" s="19"/>
      <c r="J312" s="19">
        <v>1.54</v>
      </c>
      <c r="K312" s="12" t="s">
        <v>17</v>
      </c>
      <c r="L312" s="35">
        <f t="shared" ref="L312" si="44">SUBTOTAL(9,C312:J312)</f>
        <v>0</v>
      </c>
      <c r="M312" s="10" t="s">
        <v>60</v>
      </c>
      <c r="N312" s="9" t="s">
        <v>360</v>
      </c>
      <c r="O312" s="10"/>
      <c r="P312" s="9"/>
    </row>
    <row r="313" spans="1:16" hidden="1" x14ac:dyDescent="0.2">
      <c r="A313" s="12">
        <v>17</v>
      </c>
      <c r="B313" s="12" t="s">
        <v>23</v>
      </c>
      <c r="C313" s="19"/>
      <c r="D313" s="9"/>
      <c r="E313" s="19"/>
      <c r="F313" s="19"/>
      <c r="G313" s="19"/>
      <c r="H313" s="19">
        <v>7.25</v>
      </c>
      <c r="I313" s="19"/>
      <c r="J313" s="19"/>
      <c r="K313" s="12" t="s">
        <v>17</v>
      </c>
      <c r="L313" s="35">
        <f t="shared" ref="L313:L319" si="45">SUBTOTAL(9,C313:J313)</f>
        <v>0</v>
      </c>
      <c r="M313" s="10" t="s">
        <v>60</v>
      </c>
      <c r="N313" s="9" t="s">
        <v>361</v>
      </c>
      <c r="O313" s="10"/>
      <c r="P313" s="9"/>
    </row>
    <row r="314" spans="1:16" hidden="1" x14ac:dyDescent="0.2">
      <c r="A314" s="12">
        <v>17</v>
      </c>
      <c r="B314" s="12" t="s">
        <v>23</v>
      </c>
      <c r="C314" s="19"/>
      <c r="D314" s="9"/>
      <c r="E314" s="19"/>
      <c r="F314" s="19"/>
      <c r="G314" s="19"/>
      <c r="H314" s="19">
        <v>19.5</v>
      </c>
      <c r="I314" s="19"/>
      <c r="J314" s="19"/>
      <c r="K314" s="12" t="s">
        <v>17</v>
      </c>
      <c r="L314" s="35">
        <f t="shared" si="45"/>
        <v>0</v>
      </c>
      <c r="M314" s="10" t="s">
        <v>60</v>
      </c>
      <c r="N314" s="9" t="s">
        <v>362</v>
      </c>
      <c r="O314" s="10"/>
      <c r="P314" s="9"/>
    </row>
    <row r="315" spans="1:16" hidden="1" x14ac:dyDescent="0.2">
      <c r="A315" s="12">
        <v>17</v>
      </c>
      <c r="B315" s="12" t="s">
        <v>23</v>
      </c>
      <c r="C315" s="19"/>
      <c r="D315" s="9"/>
      <c r="E315" s="19"/>
      <c r="F315" s="19"/>
      <c r="G315" s="19"/>
      <c r="H315" s="19">
        <v>7.25</v>
      </c>
      <c r="I315" s="19"/>
      <c r="J315" s="19"/>
      <c r="K315" s="12" t="s">
        <v>17</v>
      </c>
      <c r="L315" s="35">
        <f t="shared" si="45"/>
        <v>0</v>
      </c>
      <c r="M315" s="10" t="s">
        <v>60</v>
      </c>
      <c r="N315" s="9" t="s">
        <v>363</v>
      </c>
      <c r="O315" s="10"/>
      <c r="P315" s="9"/>
    </row>
    <row r="316" spans="1:16" hidden="1" x14ac:dyDescent="0.2">
      <c r="A316" s="12">
        <v>17</v>
      </c>
      <c r="B316" s="12" t="s">
        <v>23</v>
      </c>
      <c r="C316" s="19"/>
      <c r="D316" s="9"/>
      <c r="E316" s="19"/>
      <c r="F316" s="19"/>
      <c r="G316" s="19"/>
      <c r="H316" s="19">
        <v>19.5</v>
      </c>
      <c r="I316" s="19"/>
      <c r="J316" s="19"/>
      <c r="K316" s="12" t="s">
        <v>17</v>
      </c>
      <c r="L316" s="35">
        <f t="shared" si="45"/>
        <v>0</v>
      </c>
      <c r="M316" s="10" t="s">
        <v>60</v>
      </c>
      <c r="N316" s="9" t="s">
        <v>364</v>
      </c>
      <c r="O316" s="10"/>
      <c r="P316" s="9"/>
    </row>
    <row r="317" spans="1:16" hidden="1" x14ac:dyDescent="0.2">
      <c r="A317" s="12">
        <v>17</v>
      </c>
      <c r="B317" s="12" t="s">
        <v>23</v>
      </c>
      <c r="C317" s="19"/>
      <c r="D317" s="9"/>
      <c r="E317" s="19"/>
      <c r="F317" s="19"/>
      <c r="G317" s="19"/>
      <c r="H317" s="19">
        <v>7.25</v>
      </c>
      <c r="I317" s="19"/>
      <c r="J317" s="9"/>
      <c r="K317" s="12" t="s">
        <v>17</v>
      </c>
      <c r="L317" s="35">
        <f t="shared" si="45"/>
        <v>0</v>
      </c>
      <c r="M317" s="10" t="s">
        <v>60</v>
      </c>
      <c r="N317" s="9" t="s">
        <v>365</v>
      </c>
      <c r="O317" s="10"/>
      <c r="P317" s="9"/>
    </row>
    <row r="318" spans="1:16" hidden="1" x14ac:dyDescent="0.2">
      <c r="A318" s="12">
        <v>17</v>
      </c>
      <c r="B318" s="12" t="s">
        <v>23</v>
      </c>
      <c r="C318" s="19">
        <v>4.75</v>
      </c>
      <c r="D318" s="9"/>
      <c r="E318" s="19"/>
      <c r="F318" s="19"/>
      <c r="G318" s="19"/>
      <c r="H318" s="19"/>
      <c r="I318" s="19"/>
      <c r="J318" s="19">
        <v>0.71</v>
      </c>
      <c r="K318" s="12" t="s">
        <v>17</v>
      </c>
      <c r="L318" s="35">
        <f t="shared" si="45"/>
        <v>0</v>
      </c>
      <c r="M318" s="10" t="s">
        <v>60</v>
      </c>
      <c r="N318" s="9" t="s">
        <v>366</v>
      </c>
      <c r="O318" s="10"/>
      <c r="P318" s="9"/>
    </row>
    <row r="319" spans="1:16" hidden="1" x14ac:dyDescent="0.2">
      <c r="A319" s="12">
        <v>17</v>
      </c>
      <c r="B319" s="12" t="s">
        <v>23</v>
      </c>
      <c r="C319" s="19"/>
      <c r="D319" s="9"/>
      <c r="E319" s="19"/>
      <c r="F319" s="19"/>
      <c r="G319" s="19"/>
      <c r="H319" s="19">
        <v>6.95</v>
      </c>
      <c r="I319" s="19"/>
      <c r="J319" s="19"/>
      <c r="K319" s="12" t="s">
        <v>17</v>
      </c>
      <c r="L319" s="35">
        <f t="shared" si="45"/>
        <v>0</v>
      </c>
      <c r="M319" s="10" t="s">
        <v>60</v>
      </c>
      <c r="N319" s="9" t="s">
        <v>367</v>
      </c>
      <c r="O319" s="10"/>
      <c r="P319" s="9"/>
    </row>
    <row r="320" spans="1:16" hidden="1" x14ac:dyDescent="0.2">
      <c r="A320" s="12">
        <v>17</v>
      </c>
      <c r="B320" s="12" t="s">
        <v>20</v>
      </c>
      <c r="C320" s="9">
        <f>12+24+12+11+22+104</f>
        <v>185</v>
      </c>
      <c r="D320" s="9"/>
      <c r="E320" s="9"/>
      <c r="F320" s="9"/>
      <c r="G320" s="9"/>
      <c r="H320" s="9"/>
      <c r="I320" s="9"/>
      <c r="J320" s="9">
        <v>22.2</v>
      </c>
      <c r="K320" s="12" t="s">
        <v>17</v>
      </c>
      <c r="L320" s="35">
        <f t="shared" ref="L320:L340" si="46">SUBTOTAL(9,C320:J320)</f>
        <v>0</v>
      </c>
      <c r="M320" s="10" t="s">
        <v>60</v>
      </c>
      <c r="N320" s="9" t="s">
        <v>368</v>
      </c>
      <c r="O320" s="10"/>
      <c r="P320" s="9"/>
    </row>
    <row r="321" spans="1:16" hidden="1" x14ac:dyDescent="0.2">
      <c r="A321" s="12">
        <v>18</v>
      </c>
      <c r="B321" s="12" t="s">
        <v>23</v>
      </c>
      <c r="C321" s="9"/>
      <c r="D321" s="9"/>
      <c r="E321" s="9"/>
      <c r="F321" s="9"/>
      <c r="G321" s="9"/>
      <c r="H321" s="9">
        <f t="shared" ref="H321:H328" si="47">4+3.25</f>
        <v>7.25</v>
      </c>
      <c r="I321" s="9"/>
      <c r="J321" s="9"/>
      <c r="K321" s="12" t="s">
        <v>17</v>
      </c>
      <c r="L321" s="35">
        <f t="shared" si="46"/>
        <v>0</v>
      </c>
      <c r="M321" s="10" t="s">
        <v>60</v>
      </c>
      <c r="N321" s="9" t="s">
        <v>369</v>
      </c>
      <c r="O321" s="10"/>
      <c r="P321" s="9"/>
    </row>
    <row r="322" spans="1:16" hidden="1" x14ac:dyDescent="0.2">
      <c r="A322" s="12">
        <v>18</v>
      </c>
      <c r="B322" s="12" t="s">
        <v>23</v>
      </c>
      <c r="C322" s="9"/>
      <c r="D322" s="9"/>
      <c r="E322" s="9"/>
      <c r="F322" s="9"/>
      <c r="G322" s="9"/>
      <c r="H322" s="9">
        <f t="shared" si="47"/>
        <v>7.25</v>
      </c>
      <c r="I322" s="9"/>
      <c r="J322" s="9"/>
      <c r="K322" s="12" t="s">
        <v>17</v>
      </c>
      <c r="L322" s="35">
        <f t="shared" si="46"/>
        <v>0</v>
      </c>
      <c r="M322" s="10" t="s">
        <v>60</v>
      </c>
      <c r="N322" s="9" t="s">
        <v>370</v>
      </c>
      <c r="O322" s="10"/>
      <c r="P322" s="9"/>
    </row>
    <row r="323" spans="1:16" hidden="1" x14ac:dyDescent="0.2">
      <c r="A323" s="12">
        <v>18</v>
      </c>
      <c r="B323" s="12" t="s">
        <v>23</v>
      </c>
      <c r="C323" s="9"/>
      <c r="D323" s="9"/>
      <c r="E323" s="9"/>
      <c r="F323" s="9"/>
      <c r="G323" s="9"/>
      <c r="H323" s="9">
        <f t="shared" si="47"/>
        <v>7.25</v>
      </c>
      <c r="I323" s="9"/>
      <c r="J323" s="9"/>
      <c r="K323" s="12" t="s">
        <v>17</v>
      </c>
      <c r="L323" s="35">
        <f t="shared" si="46"/>
        <v>0</v>
      </c>
      <c r="M323" s="10" t="s">
        <v>60</v>
      </c>
      <c r="N323" s="9" t="s">
        <v>371</v>
      </c>
      <c r="O323" s="10"/>
      <c r="P323" s="9"/>
    </row>
    <row r="324" spans="1:16" hidden="1" x14ac:dyDescent="0.2">
      <c r="A324" s="12">
        <v>18</v>
      </c>
      <c r="B324" s="12" t="s">
        <v>23</v>
      </c>
      <c r="C324" s="9"/>
      <c r="D324" s="9"/>
      <c r="E324" s="9"/>
      <c r="F324" s="9"/>
      <c r="G324" s="9"/>
      <c r="H324" s="9">
        <f t="shared" si="47"/>
        <v>7.25</v>
      </c>
      <c r="I324" s="9"/>
      <c r="J324" s="9"/>
      <c r="K324" s="12" t="s">
        <v>17</v>
      </c>
      <c r="L324" s="35">
        <f t="shared" si="46"/>
        <v>0</v>
      </c>
      <c r="M324" s="10" t="s">
        <v>60</v>
      </c>
      <c r="N324" s="9" t="s">
        <v>372</v>
      </c>
      <c r="O324" s="10"/>
      <c r="P324" s="9"/>
    </row>
    <row r="325" spans="1:16" hidden="1" x14ac:dyDescent="0.2">
      <c r="A325" s="12">
        <v>18</v>
      </c>
      <c r="B325" s="12" t="s">
        <v>23</v>
      </c>
      <c r="C325" s="9"/>
      <c r="D325" s="9"/>
      <c r="E325" s="9"/>
      <c r="F325" s="9"/>
      <c r="G325" s="9"/>
      <c r="H325" s="9">
        <f t="shared" si="47"/>
        <v>7.25</v>
      </c>
      <c r="I325" s="9"/>
      <c r="J325" s="9"/>
      <c r="K325" s="12" t="s">
        <v>17</v>
      </c>
      <c r="L325" s="35">
        <f t="shared" si="46"/>
        <v>0</v>
      </c>
      <c r="M325" s="10" t="s">
        <v>60</v>
      </c>
      <c r="N325" s="9" t="s">
        <v>373</v>
      </c>
      <c r="O325" s="10"/>
      <c r="P325" s="9"/>
    </row>
    <row r="326" spans="1:16" hidden="1" x14ac:dyDescent="0.2">
      <c r="A326" s="12">
        <v>18</v>
      </c>
      <c r="B326" s="12" t="s">
        <v>23</v>
      </c>
      <c r="C326" s="9"/>
      <c r="D326" s="9"/>
      <c r="E326" s="9"/>
      <c r="F326" s="9"/>
      <c r="G326" s="9"/>
      <c r="H326" s="9">
        <f t="shared" si="47"/>
        <v>7.25</v>
      </c>
      <c r="I326" s="9"/>
      <c r="J326" s="9"/>
      <c r="K326" s="12" t="s">
        <v>17</v>
      </c>
      <c r="L326" s="35">
        <f t="shared" si="46"/>
        <v>0</v>
      </c>
      <c r="M326" s="10" t="s">
        <v>60</v>
      </c>
      <c r="N326" s="9" t="s">
        <v>374</v>
      </c>
      <c r="O326" s="10"/>
      <c r="P326" s="9"/>
    </row>
    <row r="327" spans="1:16" hidden="1" x14ac:dyDescent="0.2">
      <c r="A327" s="12">
        <v>18</v>
      </c>
      <c r="B327" s="12" t="s">
        <v>23</v>
      </c>
      <c r="C327" s="9"/>
      <c r="D327" s="9"/>
      <c r="E327" s="9"/>
      <c r="F327" s="9"/>
      <c r="G327" s="9"/>
      <c r="H327" s="9">
        <f t="shared" si="47"/>
        <v>7.25</v>
      </c>
      <c r="I327" s="9"/>
      <c r="J327" s="9"/>
      <c r="K327" s="12" t="s">
        <v>17</v>
      </c>
      <c r="L327" s="35">
        <f t="shared" si="46"/>
        <v>0</v>
      </c>
      <c r="M327" s="10" t="s">
        <v>60</v>
      </c>
      <c r="N327" s="9" t="s">
        <v>375</v>
      </c>
      <c r="O327" s="10"/>
      <c r="P327" s="9"/>
    </row>
    <row r="328" spans="1:16" hidden="1" x14ac:dyDescent="0.2">
      <c r="A328" s="12">
        <v>18</v>
      </c>
      <c r="B328" s="12" t="s">
        <v>23</v>
      </c>
      <c r="C328" s="9"/>
      <c r="D328" s="9"/>
      <c r="E328" s="9"/>
      <c r="F328" s="9"/>
      <c r="G328" s="9"/>
      <c r="H328" s="9">
        <f t="shared" si="47"/>
        <v>7.25</v>
      </c>
      <c r="I328" s="9"/>
      <c r="J328" s="9"/>
      <c r="K328" s="12" t="s">
        <v>17</v>
      </c>
      <c r="L328" s="35">
        <f t="shared" si="46"/>
        <v>0</v>
      </c>
      <c r="M328" s="10" t="s">
        <v>60</v>
      </c>
      <c r="N328" s="9" t="s">
        <v>376</v>
      </c>
      <c r="O328" s="10"/>
      <c r="P328" s="9"/>
    </row>
    <row r="329" spans="1:16" hidden="1" x14ac:dyDescent="0.2">
      <c r="A329" s="12">
        <v>18</v>
      </c>
      <c r="B329" s="12" t="s">
        <v>23</v>
      </c>
      <c r="C329" s="9"/>
      <c r="D329" s="9"/>
      <c r="E329" s="9"/>
      <c r="F329" s="9"/>
      <c r="G329" s="9"/>
      <c r="H329" s="9">
        <f>4+2.25+5.75+3.25+4</f>
        <v>19.25</v>
      </c>
      <c r="I329" s="9"/>
      <c r="J329" s="9"/>
      <c r="K329" s="12" t="s">
        <v>17</v>
      </c>
      <c r="L329" s="35">
        <f t="shared" si="46"/>
        <v>0</v>
      </c>
      <c r="M329" s="10" t="s">
        <v>60</v>
      </c>
      <c r="N329" s="9" t="s">
        <v>377</v>
      </c>
      <c r="O329" s="10"/>
      <c r="P329" s="9"/>
    </row>
    <row r="330" spans="1:16" hidden="1" x14ac:dyDescent="0.2">
      <c r="A330" s="12">
        <v>18</v>
      </c>
      <c r="B330" s="12" t="s">
        <v>23</v>
      </c>
      <c r="C330" s="9"/>
      <c r="D330" s="9"/>
      <c r="E330" s="9"/>
      <c r="F330" s="9"/>
      <c r="G330" s="9"/>
      <c r="H330" s="9">
        <v>4.25</v>
      </c>
      <c r="I330" s="9"/>
      <c r="J330" s="9">
        <v>0.64</v>
      </c>
      <c r="K330" s="12" t="s">
        <v>17</v>
      </c>
      <c r="L330" s="35">
        <f t="shared" si="46"/>
        <v>0</v>
      </c>
      <c r="M330" s="10" t="s">
        <v>60</v>
      </c>
      <c r="N330" s="9" t="s">
        <v>378</v>
      </c>
      <c r="O330" s="10"/>
      <c r="P330" s="9"/>
    </row>
    <row r="331" spans="1:16" hidden="1" x14ac:dyDescent="0.2">
      <c r="A331" s="12">
        <v>18</v>
      </c>
      <c r="B331" s="12" t="s">
        <v>23</v>
      </c>
      <c r="C331" s="9"/>
      <c r="D331" s="9"/>
      <c r="E331" s="9"/>
      <c r="F331" s="9"/>
      <c r="G331" s="9"/>
      <c r="H331" s="9">
        <f>10+12+22</f>
        <v>44</v>
      </c>
      <c r="I331" s="9"/>
      <c r="J331" s="9">
        <v>6.6</v>
      </c>
      <c r="K331" s="12" t="s">
        <v>17</v>
      </c>
      <c r="L331" s="35">
        <f t="shared" si="46"/>
        <v>0</v>
      </c>
      <c r="M331" s="10" t="s">
        <v>60</v>
      </c>
      <c r="N331" s="9" t="s">
        <v>379</v>
      </c>
      <c r="O331" s="10"/>
      <c r="P331" s="9"/>
    </row>
    <row r="332" spans="1:16" hidden="1" x14ac:dyDescent="0.2">
      <c r="A332" s="12">
        <v>18</v>
      </c>
      <c r="B332" s="12" t="s">
        <v>20</v>
      </c>
      <c r="C332" s="9"/>
      <c r="D332" s="9">
        <v>14</v>
      </c>
      <c r="E332" s="9"/>
      <c r="F332" s="9">
        <v>15</v>
      </c>
      <c r="G332" s="9"/>
      <c r="H332" s="9"/>
      <c r="I332" s="9"/>
      <c r="J332" s="9">
        <v>3.48</v>
      </c>
      <c r="K332" s="12" t="s">
        <v>17</v>
      </c>
      <c r="L332" s="35">
        <f t="shared" si="46"/>
        <v>0</v>
      </c>
      <c r="M332" s="10" t="s">
        <v>60</v>
      </c>
      <c r="N332" s="9" t="s">
        <v>380</v>
      </c>
      <c r="O332" s="10"/>
      <c r="P332" s="9"/>
    </row>
    <row r="333" spans="1:16" hidden="1" x14ac:dyDescent="0.2">
      <c r="A333" s="12">
        <v>18</v>
      </c>
      <c r="B333" s="12" t="s">
        <v>20</v>
      </c>
      <c r="C333" s="9">
        <f>78+23</f>
        <v>101</v>
      </c>
      <c r="D333" s="9">
        <v>42</v>
      </c>
      <c r="E333" s="9"/>
      <c r="F333" s="9"/>
      <c r="G333" s="9"/>
      <c r="H333" s="9"/>
      <c r="I333" s="9"/>
      <c r="J333" s="9">
        <v>21.45</v>
      </c>
      <c r="K333" s="12" t="s">
        <v>17</v>
      </c>
      <c r="L333" s="35">
        <f t="shared" si="46"/>
        <v>0</v>
      </c>
      <c r="M333" s="10" t="s">
        <v>60</v>
      </c>
      <c r="N333" s="9" t="s">
        <v>180</v>
      </c>
      <c r="O333" s="10"/>
      <c r="P333" s="9"/>
    </row>
    <row r="334" spans="1:16" hidden="1" x14ac:dyDescent="0.2">
      <c r="A334" s="12">
        <v>18</v>
      </c>
      <c r="B334" s="12" t="s">
        <v>20</v>
      </c>
      <c r="C334" s="9">
        <f>24+20</f>
        <v>44</v>
      </c>
      <c r="D334" s="9"/>
      <c r="E334" s="9"/>
      <c r="F334" s="9"/>
      <c r="G334" s="9"/>
      <c r="H334" s="9"/>
      <c r="I334" s="9"/>
      <c r="J334" s="9">
        <v>6.6</v>
      </c>
      <c r="K334" s="12" t="s">
        <v>17</v>
      </c>
      <c r="L334" s="35">
        <f t="shared" si="46"/>
        <v>0</v>
      </c>
      <c r="M334" s="10" t="s">
        <v>60</v>
      </c>
      <c r="N334" s="9" t="s">
        <v>381</v>
      </c>
      <c r="O334" s="10"/>
      <c r="P334" s="9"/>
    </row>
    <row r="335" spans="1:16" hidden="1" x14ac:dyDescent="0.2">
      <c r="A335" s="12">
        <v>18</v>
      </c>
      <c r="B335" s="12" t="s">
        <v>20</v>
      </c>
      <c r="C335" s="9">
        <v>20</v>
      </c>
      <c r="D335" s="9">
        <v>14</v>
      </c>
      <c r="E335" s="9"/>
      <c r="F335" s="9"/>
      <c r="G335" s="9"/>
      <c r="H335" s="9"/>
      <c r="I335" s="9"/>
      <c r="J335" s="9">
        <v>4.08</v>
      </c>
      <c r="K335" s="12" t="s">
        <v>16</v>
      </c>
      <c r="L335" s="35">
        <f t="shared" si="46"/>
        <v>0</v>
      </c>
      <c r="M335" s="10" t="s">
        <v>58</v>
      </c>
      <c r="N335" s="9" t="s">
        <v>382</v>
      </c>
      <c r="O335" s="10"/>
      <c r="P335" s="9"/>
    </row>
    <row r="336" spans="1:16" hidden="1" x14ac:dyDescent="0.2">
      <c r="A336" s="12">
        <v>18</v>
      </c>
      <c r="B336" s="12" t="s">
        <v>23</v>
      </c>
      <c r="C336" s="9"/>
      <c r="D336" s="9"/>
      <c r="E336" s="9"/>
      <c r="F336" s="9"/>
      <c r="G336" s="9"/>
      <c r="H336" s="9">
        <v>12</v>
      </c>
      <c r="I336" s="9"/>
      <c r="J336" s="9">
        <v>1.5</v>
      </c>
      <c r="K336" s="12" t="s">
        <v>16</v>
      </c>
      <c r="L336" s="35">
        <f t="shared" si="46"/>
        <v>0</v>
      </c>
      <c r="M336" s="10" t="s">
        <v>58</v>
      </c>
      <c r="N336" s="9" t="s">
        <v>110</v>
      </c>
      <c r="O336" s="10"/>
      <c r="P336" s="9"/>
    </row>
    <row r="337" spans="1:16" hidden="1" x14ac:dyDescent="0.2">
      <c r="A337" s="12">
        <v>18</v>
      </c>
      <c r="B337" s="12" t="s">
        <v>23</v>
      </c>
      <c r="C337" s="9"/>
      <c r="D337" s="9"/>
      <c r="E337" s="9"/>
      <c r="F337" s="9"/>
      <c r="G337" s="9"/>
      <c r="H337" s="9">
        <v>4.25</v>
      </c>
      <c r="I337" s="9"/>
      <c r="J337" s="9">
        <v>0.5</v>
      </c>
      <c r="K337" s="12" t="s">
        <v>16</v>
      </c>
      <c r="L337" s="35">
        <f t="shared" si="46"/>
        <v>0</v>
      </c>
      <c r="M337" s="10" t="s">
        <v>58</v>
      </c>
      <c r="N337" s="9" t="s">
        <v>378</v>
      </c>
      <c r="O337" s="10"/>
      <c r="P337" s="9"/>
    </row>
    <row r="338" spans="1:16" hidden="1" x14ac:dyDescent="0.2">
      <c r="A338" s="12">
        <v>18</v>
      </c>
      <c r="B338" s="12" t="s">
        <v>23</v>
      </c>
      <c r="C338" s="9"/>
      <c r="D338" s="9"/>
      <c r="E338" s="9"/>
      <c r="F338" s="9"/>
      <c r="G338" s="9"/>
      <c r="H338" s="9">
        <v>14.95</v>
      </c>
      <c r="I338" s="9"/>
      <c r="J338" s="9"/>
      <c r="K338" s="12" t="s">
        <v>16</v>
      </c>
      <c r="L338" s="35">
        <f t="shared" si="46"/>
        <v>0</v>
      </c>
      <c r="M338" s="10" t="s">
        <v>58</v>
      </c>
      <c r="N338" s="9" t="s">
        <v>383</v>
      </c>
      <c r="O338" s="10"/>
      <c r="P338" s="9"/>
    </row>
    <row r="339" spans="1:16" hidden="1" x14ac:dyDescent="0.2">
      <c r="A339" s="12">
        <v>18</v>
      </c>
      <c r="B339" s="12" t="s">
        <v>23</v>
      </c>
      <c r="C339" s="9"/>
      <c r="D339" s="9"/>
      <c r="E339" s="9"/>
      <c r="F339" s="9"/>
      <c r="G339" s="9"/>
      <c r="H339" s="9">
        <v>13.25</v>
      </c>
      <c r="I339" s="9"/>
      <c r="J339" s="9"/>
      <c r="K339" s="12" t="s">
        <v>16</v>
      </c>
      <c r="L339" s="35">
        <f t="shared" si="46"/>
        <v>0</v>
      </c>
      <c r="M339" s="10" t="s">
        <v>58</v>
      </c>
      <c r="N339" s="9"/>
      <c r="O339" s="10"/>
      <c r="P339" s="9"/>
    </row>
    <row r="340" spans="1:16" hidden="1" x14ac:dyDescent="0.2">
      <c r="A340" s="12">
        <v>18</v>
      </c>
      <c r="B340" s="12" t="s">
        <v>23</v>
      </c>
      <c r="C340" s="9"/>
      <c r="D340" s="9"/>
      <c r="E340" s="9"/>
      <c r="F340" s="9"/>
      <c r="G340" s="9"/>
      <c r="H340" s="9">
        <v>44.85</v>
      </c>
      <c r="I340" s="9"/>
      <c r="J340" s="9">
        <v>5.5</v>
      </c>
      <c r="K340" s="12" t="s">
        <v>16</v>
      </c>
      <c r="L340" s="35">
        <f t="shared" si="46"/>
        <v>0</v>
      </c>
      <c r="M340" s="10" t="s">
        <v>58</v>
      </c>
      <c r="N340" s="9" t="s">
        <v>379</v>
      </c>
      <c r="O340" s="10"/>
      <c r="P340" s="9"/>
    </row>
    <row r="341" spans="1:16" hidden="1" x14ac:dyDescent="0.2">
      <c r="A341" s="12">
        <v>19</v>
      </c>
      <c r="B341" s="12" t="s">
        <v>23</v>
      </c>
      <c r="C341" s="9">
        <v>14.95</v>
      </c>
      <c r="D341" s="9"/>
      <c r="E341" s="9"/>
      <c r="F341" s="9"/>
      <c r="G341" s="9"/>
      <c r="H341" s="9">
        <v>4.25</v>
      </c>
      <c r="I341" s="9"/>
      <c r="J341" s="9">
        <v>2.35</v>
      </c>
      <c r="K341" s="12" t="s">
        <v>16</v>
      </c>
      <c r="L341" s="35">
        <f t="shared" ref="L341" si="48">SUBTOTAL(9,C341:J341)</f>
        <v>0</v>
      </c>
      <c r="M341" s="10" t="s">
        <v>58</v>
      </c>
      <c r="N341" s="9" t="s">
        <v>110</v>
      </c>
      <c r="O341" s="10"/>
      <c r="P341" s="9"/>
    </row>
    <row r="342" spans="1:16" hidden="1" x14ac:dyDescent="0.2">
      <c r="A342" s="12">
        <v>19</v>
      </c>
      <c r="B342" s="12" t="s">
        <v>20</v>
      </c>
      <c r="C342" s="9">
        <v>101</v>
      </c>
      <c r="D342" s="9"/>
      <c r="E342" s="9"/>
      <c r="F342" s="9"/>
      <c r="G342" s="9">
        <v>8.5</v>
      </c>
      <c r="H342" s="9"/>
      <c r="I342" s="9"/>
      <c r="J342" s="9">
        <v>13.14</v>
      </c>
      <c r="K342" s="12" t="s">
        <v>16</v>
      </c>
      <c r="L342" s="35">
        <f t="shared" ref="L342:L345" si="49">SUBTOTAL(9,C342:J342)</f>
        <v>0</v>
      </c>
      <c r="M342" s="10" t="s">
        <v>58</v>
      </c>
      <c r="N342" s="9" t="s">
        <v>292</v>
      </c>
      <c r="O342" s="10"/>
      <c r="P342" s="9"/>
    </row>
    <row r="343" spans="1:16" hidden="1" x14ac:dyDescent="0.2">
      <c r="A343" s="12">
        <v>19</v>
      </c>
      <c r="B343" s="12" t="s">
        <v>20</v>
      </c>
      <c r="C343" s="9">
        <v>29</v>
      </c>
      <c r="D343" s="9"/>
      <c r="E343" s="9"/>
      <c r="F343" s="9"/>
      <c r="G343" s="9"/>
      <c r="H343" s="9"/>
      <c r="I343" s="9"/>
      <c r="J343" s="9">
        <v>3.48</v>
      </c>
      <c r="K343" s="12" t="s">
        <v>16</v>
      </c>
      <c r="L343" s="35">
        <f t="shared" si="49"/>
        <v>0</v>
      </c>
      <c r="M343" s="10" t="s">
        <v>58</v>
      </c>
      <c r="N343" s="9" t="s">
        <v>384</v>
      </c>
      <c r="O343" s="10"/>
      <c r="P343" s="9"/>
    </row>
    <row r="344" spans="1:16" hidden="1" x14ac:dyDescent="0.2">
      <c r="A344" s="12">
        <v>19</v>
      </c>
      <c r="B344" s="12" t="s">
        <v>23</v>
      </c>
      <c r="C344" s="9">
        <v>6</v>
      </c>
      <c r="D344" s="9"/>
      <c r="E344" s="9"/>
      <c r="F344" s="9"/>
      <c r="G344" s="9"/>
      <c r="H344" s="9"/>
      <c r="I344" s="9"/>
      <c r="J344" s="9">
        <v>0.9</v>
      </c>
      <c r="K344" s="12" t="s">
        <v>17</v>
      </c>
      <c r="L344" s="35">
        <f t="shared" si="49"/>
        <v>0</v>
      </c>
      <c r="M344" s="10" t="s">
        <v>60</v>
      </c>
      <c r="N344" s="9" t="s">
        <v>277</v>
      </c>
      <c r="O344" s="10"/>
      <c r="P344" s="9"/>
    </row>
    <row r="345" spans="1:16" hidden="1" x14ac:dyDescent="0.2">
      <c r="A345" s="12">
        <v>19</v>
      </c>
      <c r="B345" s="12" t="s">
        <v>23</v>
      </c>
      <c r="C345" s="9">
        <v>3</v>
      </c>
      <c r="D345" s="9"/>
      <c r="E345" s="9"/>
      <c r="F345" s="9"/>
      <c r="G345" s="9"/>
      <c r="H345" s="9"/>
      <c r="I345" s="9"/>
      <c r="J345" s="9">
        <v>0.45</v>
      </c>
      <c r="K345" s="12" t="s">
        <v>17</v>
      </c>
      <c r="L345" s="35">
        <f t="shared" si="49"/>
        <v>0</v>
      </c>
      <c r="M345" s="10" t="s">
        <v>60</v>
      </c>
      <c r="N345" s="9" t="s">
        <v>385</v>
      </c>
      <c r="O345" s="10"/>
      <c r="P345" s="9"/>
    </row>
    <row r="346" spans="1:16" hidden="1" x14ac:dyDescent="0.2">
      <c r="A346" s="12">
        <v>20</v>
      </c>
      <c r="B346" s="12" t="s">
        <v>20</v>
      </c>
      <c r="C346" s="9">
        <v>40</v>
      </c>
      <c r="D346" s="9"/>
      <c r="E346" s="9"/>
      <c r="F346" s="9"/>
      <c r="G346" s="9"/>
      <c r="H346" s="9"/>
      <c r="I346" s="9"/>
      <c r="J346" s="9">
        <v>6</v>
      </c>
      <c r="K346" s="12" t="s">
        <v>16</v>
      </c>
      <c r="L346" s="35">
        <f t="shared" ref="L346" si="50">SUBTOTAL(9,C346:J346)</f>
        <v>0</v>
      </c>
      <c r="M346" s="10" t="s">
        <v>58</v>
      </c>
      <c r="N346" s="9" t="s">
        <v>199</v>
      </c>
      <c r="O346" s="10"/>
      <c r="P346" s="9"/>
    </row>
    <row r="347" spans="1:16" hidden="1" x14ac:dyDescent="0.2">
      <c r="A347" s="12">
        <v>20</v>
      </c>
      <c r="B347" s="12" t="s">
        <v>20</v>
      </c>
      <c r="C347" s="9">
        <v>16</v>
      </c>
      <c r="D347" s="9"/>
      <c r="E347" s="9"/>
      <c r="F347" s="9"/>
      <c r="G347" s="9"/>
      <c r="H347" s="9"/>
      <c r="I347" s="9"/>
      <c r="J347" s="9">
        <v>1.92</v>
      </c>
      <c r="K347" s="12" t="s">
        <v>16</v>
      </c>
      <c r="L347" s="35">
        <f t="shared" ref="L347:L360" si="51">SUBTOTAL(9,C347:J347)</f>
        <v>0</v>
      </c>
      <c r="M347" s="10" t="s">
        <v>58</v>
      </c>
      <c r="N347" s="9" t="s">
        <v>201</v>
      </c>
      <c r="O347" s="10"/>
      <c r="P347" s="9"/>
    </row>
    <row r="348" spans="1:16" hidden="1" x14ac:dyDescent="0.2">
      <c r="A348" s="12">
        <v>20</v>
      </c>
      <c r="B348" s="12" t="s">
        <v>20</v>
      </c>
      <c r="C348" s="9">
        <v>3.5</v>
      </c>
      <c r="D348" s="9"/>
      <c r="E348" s="9"/>
      <c r="F348" s="9"/>
      <c r="G348" s="9">
        <v>4.25</v>
      </c>
      <c r="H348" s="9"/>
      <c r="I348" s="9"/>
      <c r="J348" s="9">
        <v>1.1599999999999999</v>
      </c>
      <c r="K348" s="12" t="s">
        <v>16</v>
      </c>
      <c r="L348" s="35">
        <f t="shared" si="51"/>
        <v>0</v>
      </c>
      <c r="M348" s="10" t="s">
        <v>58</v>
      </c>
      <c r="N348" s="9" t="s">
        <v>386</v>
      </c>
      <c r="O348" s="10"/>
      <c r="P348" s="9"/>
    </row>
    <row r="349" spans="1:16" hidden="1" x14ac:dyDescent="0.2">
      <c r="A349" s="12">
        <v>20</v>
      </c>
      <c r="B349" s="12" t="s">
        <v>23</v>
      </c>
      <c r="C349" s="9">
        <v>14.95</v>
      </c>
      <c r="D349" s="9"/>
      <c r="E349" s="9"/>
      <c r="F349" s="9"/>
      <c r="G349" s="9"/>
      <c r="H349" s="9"/>
      <c r="I349" s="9"/>
      <c r="J349" s="9">
        <v>1.79</v>
      </c>
      <c r="K349" s="12" t="s">
        <v>16</v>
      </c>
      <c r="L349" s="35">
        <f t="shared" si="51"/>
        <v>0</v>
      </c>
      <c r="M349" s="10" t="s">
        <v>58</v>
      </c>
      <c r="N349" s="9" t="s">
        <v>110</v>
      </c>
      <c r="O349" s="10"/>
      <c r="P349" s="9"/>
    </row>
    <row r="350" spans="1:16" hidden="1" x14ac:dyDescent="0.2">
      <c r="A350" s="12">
        <v>20</v>
      </c>
      <c r="B350" s="12" t="s">
        <v>23</v>
      </c>
      <c r="C350" s="9">
        <v>12.95</v>
      </c>
      <c r="D350" s="9"/>
      <c r="E350" s="9"/>
      <c r="F350" s="9"/>
      <c r="G350" s="9"/>
      <c r="H350" s="9"/>
      <c r="I350" s="9"/>
      <c r="J350" s="9">
        <v>1.55</v>
      </c>
      <c r="K350" s="12" t="s">
        <v>16</v>
      </c>
      <c r="L350" s="35">
        <f t="shared" si="51"/>
        <v>0</v>
      </c>
      <c r="M350" s="10" t="s">
        <v>58</v>
      </c>
      <c r="N350" s="9" t="s">
        <v>387</v>
      </c>
      <c r="O350" s="10"/>
      <c r="P350" s="9"/>
    </row>
    <row r="351" spans="1:16" hidden="1" x14ac:dyDescent="0.2">
      <c r="A351" s="12">
        <v>20</v>
      </c>
      <c r="B351" s="12" t="s">
        <v>23</v>
      </c>
      <c r="C351" s="9">
        <v>2</v>
      </c>
      <c r="D351" s="9"/>
      <c r="E351" s="9"/>
      <c r="F351" s="9"/>
      <c r="G351" s="9"/>
      <c r="H351" s="9">
        <v>8.75</v>
      </c>
      <c r="I351" s="9"/>
      <c r="J351" s="9"/>
      <c r="K351" s="12" t="s">
        <v>16</v>
      </c>
      <c r="L351" s="35">
        <f t="shared" si="51"/>
        <v>0</v>
      </c>
      <c r="M351" s="10" t="s">
        <v>58</v>
      </c>
      <c r="N351" s="9" t="s">
        <v>199</v>
      </c>
      <c r="O351" s="10"/>
      <c r="P351" s="9"/>
    </row>
    <row r="352" spans="1:16" hidden="1" x14ac:dyDescent="0.2">
      <c r="A352" s="12">
        <v>20</v>
      </c>
      <c r="B352" s="12" t="s">
        <v>23</v>
      </c>
      <c r="C352" s="9">
        <v>14.95</v>
      </c>
      <c r="D352" s="9"/>
      <c r="E352" s="9"/>
      <c r="F352" s="9"/>
      <c r="G352" s="9"/>
      <c r="H352" s="9"/>
      <c r="I352" s="9"/>
      <c r="J352" s="9">
        <v>2.2400000000000002</v>
      </c>
      <c r="K352" s="12" t="s">
        <v>16</v>
      </c>
      <c r="L352" s="35">
        <f t="shared" si="51"/>
        <v>0</v>
      </c>
      <c r="M352" s="10" t="s">
        <v>58</v>
      </c>
      <c r="N352" s="9" t="s">
        <v>388</v>
      </c>
      <c r="O352" s="10"/>
      <c r="P352" s="9"/>
    </row>
    <row r="353" spans="1:16" hidden="1" x14ac:dyDescent="0.2">
      <c r="A353" s="12">
        <v>20</v>
      </c>
      <c r="B353" s="12" t="s">
        <v>23</v>
      </c>
      <c r="C353" s="9">
        <v>25.95</v>
      </c>
      <c r="D353" s="9"/>
      <c r="E353" s="9"/>
      <c r="F353" s="9"/>
      <c r="G353" s="9"/>
      <c r="H353" s="9">
        <v>6</v>
      </c>
      <c r="I353" s="9"/>
      <c r="J353" s="9">
        <v>4.79</v>
      </c>
      <c r="K353" s="12" t="s">
        <v>16</v>
      </c>
      <c r="L353" s="35">
        <f t="shared" si="51"/>
        <v>0</v>
      </c>
      <c r="M353" s="10" t="s">
        <v>58</v>
      </c>
      <c r="N353" s="9" t="s">
        <v>276</v>
      </c>
      <c r="O353" s="10"/>
      <c r="P353" s="9"/>
    </row>
    <row r="354" spans="1:16" hidden="1" x14ac:dyDescent="0.2">
      <c r="A354" s="12">
        <v>20</v>
      </c>
      <c r="B354" s="12" t="s">
        <v>23</v>
      </c>
      <c r="C354" s="9">
        <v>12</v>
      </c>
      <c r="D354" s="9"/>
      <c r="E354" s="9"/>
      <c r="F354" s="9"/>
      <c r="G354" s="9"/>
      <c r="H354" s="9"/>
      <c r="I354" s="9"/>
      <c r="J354" s="9">
        <v>1.8</v>
      </c>
      <c r="K354" s="12" t="s">
        <v>16</v>
      </c>
      <c r="L354" s="35">
        <f t="shared" si="51"/>
        <v>0</v>
      </c>
      <c r="M354" s="10" t="s">
        <v>58</v>
      </c>
      <c r="N354" s="9" t="s">
        <v>344</v>
      </c>
      <c r="O354" s="10"/>
      <c r="P354" s="9"/>
    </row>
    <row r="355" spans="1:16" hidden="1" x14ac:dyDescent="0.2">
      <c r="A355" s="12">
        <v>20</v>
      </c>
      <c r="B355" s="12" t="s">
        <v>23</v>
      </c>
      <c r="C355" s="9">
        <v>8.5</v>
      </c>
      <c r="D355" s="9"/>
      <c r="E355" s="9"/>
      <c r="F355" s="9"/>
      <c r="G355" s="9"/>
      <c r="H355" s="9"/>
      <c r="I355" s="9"/>
      <c r="J355" s="9">
        <v>1.28</v>
      </c>
      <c r="K355" s="12" t="s">
        <v>16</v>
      </c>
      <c r="L355" s="35">
        <f t="shared" si="51"/>
        <v>0</v>
      </c>
      <c r="M355" s="10" t="s">
        <v>58</v>
      </c>
      <c r="N355" s="9" t="s">
        <v>109</v>
      </c>
      <c r="O355" s="10"/>
      <c r="P355" s="9"/>
    </row>
    <row r="356" spans="1:16" hidden="1" x14ac:dyDescent="0.2">
      <c r="A356" s="12">
        <v>20</v>
      </c>
      <c r="B356" s="12" t="s">
        <v>23</v>
      </c>
      <c r="C356" s="9">
        <v>18.95</v>
      </c>
      <c r="D356" s="9"/>
      <c r="E356" s="9"/>
      <c r="F356" s="9"/>
      <c r="G356" s="9"/>
      <c r="H356" s="9"/>
      <c r="I356" s="9"/>
      <c r="J356" s="9">
        <v>2.84</v>
      </c>
      <c r="K356" s="12" t="s">
        <v>16</v>
      </c>
      <c r="L356" s="35">
        <f t="shared" si="51"/>
        <v>0</v>
      </c>
      <c r="M356" s="10" t="s">
        <v>58</v>
      </c>
      <c r="N356" s="9" t="s">
        <v>389</v>
      </c>
      <c r="O356" s="10"/>
      <c r="P356" s="9"/>
    </row>
    <row r="357" spans="1:16" hidden="1" x14ac:dyDescent="0.2">
      <c r="A357" s="12">
        <v>20</v>
      </c>
      <c r="B357" s="12" t="s">
        <v>23</v>
      </c>
      <c r="C357" s="9"/>
      <c r="D357" s="9"/>
      <c r="E357" s="9"/>
      <c r="F357" s="9"/>
      <c r="G357" s="9"/>
      <c r="H357" s="9">
        <v>8.1999999999999993</v>
      </c>
      <c r="I357" s="9"/>
      <c r="J357" s="9"/>
      <c r="K357" s="12" t="s">
        <v>16</v>
      </c>
      <c r="L357" s="35">
        <f t="shared" si="51"/>
        <v>0</v>
      </c>
      <c r="M357" s="10" t="s">
        <v>58</v>
      </c>
      <c r="N357" s="9" t="s">
        <v>110</v>
      </c>
      <c r="O357" s="10"/>
      <c r="P357" s="9"/>
    </row>
    <row r="358" spans="1:16" hidden="1" x14ac:dyDescent="0.2">
      <c r="A358" s="12">
        <v>20</v>
      </c>
      <c r="B358" s="12" t="s">
        <v>23</v>
      </c>
      <c r="C358" s="9">
        <v>41.5</v>
      </c>
      <c r="D358" s="9"/>
      <c r="E358" s="9"/>
      <c r="F358" s="9"/>
      <c r="G358" s="9"/>
      <c r="H358" s="9"/>
      <c r="I358" s="9"/>
      <c r="J358" s="9">
        <v>6.23</v>
      </c>
      <c r="K358" s="12" t="s">
        <v>17</v>
      </c>
      <c r="L358" s="35">
        <f t="shared" si="51"/>
        <v>0</v>
      </c>
      <c r="M358" s="10" t="s">
        <v>60</v>
      </c>
      <c r="N358" s="9" t="s">
        <v>390</v>
      </c>
      <c r="O358" s="10"/>
      <c r="P358" s="9"/>
    </row>
    <row r="359" spans="1:16" hidden="1" x14ac:dyDescent="0.2">
      <c r="A359" s="12">
        <v>20</v>
      </c>
      <c r="B359" s="12" t="s">
        <v>23</v>
      </c>
      <c r="C359" s="9">
        <v>213</v>
      </c>
      <c r="D359" s="9"/>
      <c r="E359" s="9"/>
      <c r="F359" s="9"/>
      <c r="G359" s="9"/>
      <c r="H359" s="9"/>
      <c r="I359" s="9"/>
      <c r="J359" s="9">
        <v>31.95</v>
      </c>
      <c r="K359" s="12" t="s">
        <v>17</v>
      </c>
      <c r="L359" s="35">
        <f t="shared" si="51"/>
        <v>0</v>
      </c>
      <c r="M359" s="10" t="s">
        <v>60</v>
      </c>
      <c r="N359" s="9" t="s">
        <v>391</v>
      </c>
      <c r="O359" s="10"/>
      <c r="P359" s="9"/>
    </row>
    <row r="360" spans="1:16" hidden="1" x14ac:dyDescent="0.2">
      <c r="A360" s="12">
        <v>20</v>
      </c>
      <c r="B360" s="12" t="s">
        <v>23</v>
      </c>
      <c r="C360" s="9">
        <v>7</v>
      </c>
      <c r="D360" s="9"/>
      <c r="E360" s="9"/>
      <c r="F360" s="9"/>
      <c r="G360" s="9"/>
      <c r="H360" s="9"/>
      <c r="I360" s="9"/>
      <c r="J360" s="9">
        <v>1.05</v>
      </c>
      <c r="K360" s="12" t="s">
        <v>17</v>
      </c>
      <c r="L360" s="35">
        <f t="shared" si="51"/>
        <v>0</v>
      </c>
      <c r="M360" s="10" t="s">
        <v>60</v>
      </c>
      <c r="N360" s="9" t="s">
        <v>353</v>
      </c>
      <c r="O360" s="10"/>
      <c r="P360" s="9"/>
    </row>
    <row r="361" spans="1:16" hidden="1" x14ac:dyDescent="0.2">
      <c r="A361" s="12">
        <v>21</v>
      </c>
      <c r="B361" s="12" t="s">
        <v>23</v>
      </c>
      <c r="C361" s="9"/>
      <c r="D361" s="9"/>
      <c r="E361" s="9"/>
      <c r="F361" s="9"/>
      <c r="G361" s="9"/>
      <c r="H361" s="9">
        <v>15.49</v>
      </c>
      <c r="I361" s="9"/>
      <c r="J361" s="9"/>
      <c r="K361" s="12" t="s">
        <v>17</v>
      </c>
      <c r="L361" s="35">
        <f t="shared" ref="L361" si="52">SUBTOTAL(9,C361:J361)</f>
        <v>0</v>
      </c>
      <c r="M361" s="10" t="s">
        <v>60</v>
      </c>
      <c r="N361" s="9" t="s">
        <v>392</v>
      </c>
      <c r="O361" s="10"/>
      <c r="P361" s="9"/>
    </row>
    <row r="362" spans="1:16" hidden="1" x14ac:dyDescent="0.2">
      <c r="A362" s="12">
        <v>21</v>
      </c>
      <c r="B362" s="12" t="s">
        <v>23</v>
      </c>
      <c r="C362" s="9"/>
      <c r="D362" s="9"/>
      <c r="E362" s="9"/>
      <c r="F362" s="9"/>
      <c r="G362" s="9"/>
      <c r="H362" s="9">
        <v>15.49</v>
      </c>
      <c r="I362" s="9"/>
      <c r="J362" s="9"/>
      <c r="K362" s="12" t="s">
        <v>17</v>
      </c>
      <c r="L362" s="35">
        <f t="shared" ref="L362:L388" si="53">SUBTOTAL(9,C362:J362)</f>
        <v>0</v>
      </c>
      <c r="M362" s="10" t="s">
        <v>60</v>
      </c>
      <c r="N362" s="9" t="s">
        <v>393</v>
      </c>
      <c r="O362" s="10"/>
      <c r="P362" s="9"/>
    </row>
    <row r="363" spans="1:16" hidden="1" x14ac:dyDescent="0.2">
      <c r="A363" s="12">
        <v>21</v>
      </c>
      <c r="B363" s="12" t="s">
        <v>23</v>
      </c>
      <c r="C363" s="9"/>
      <c r="D363" s="9"/>
      <c r="E363" s="9"/>
      <c r="F363" s="9"/>
      <c r="G363" s="9"/>
      <c r="H363" s="9">
        <v>15.49</v>
      </c>
      <c r="I363" s="9"/>
      <c r="J363" s="9"/>
      <c r="K363" s="12" t="s">
        <v>17</v>
      </c>
      <c r="L363" s="35">
        <f t="shared" si="53"/>
        <v>0</v>
      </c>
      <c r="M363" s="10" t="s">
        <v>60</v>
      </c>
      <c r="N363" s="9" t="s">
        <v>394</v>
      </c>
      <c r="O363" s="10"/>
      <c r="P363" s="9"/>
    </row>
    <row r="364" spans="1:16" hidden="1" x14ac:dyDescent="0.2">
      <c r="A364" s="12">
        <v>21</v>
      </c>
      <c r="B364" s="12" t="s">
        <v>23</v>
      </c>
      <c r="C364" s="9"/>
      <c r="D364" s="9"/>
      <c r="E364" s="9"/>
      <c r="F364" s="9"/>
      <c r="G364" s="9"/>
      <c r="H364" s="9">
        <v>12</v>
      </c>
      <c r="I364" s="9"/>
      <c r="J364" s="9"/>
      <c r="K364" s="12" t="s">
        <v>17</v>
      </c>
      <c r="L364" s="35">
        <f t="shared" si="53"/>
        <v>0</v>
      </c>
      <c r="M364" s="10" t="s">
        <v>60</v>
      </c>
      <c r="N364" s="9" t="s">
        <v>395</v>
      </c>
      <c r="O364" s="10"/>
      <c r="P364" s="9"/>
    </row>
    <row r="365" spans="1:16" hidden="1" x14ac:dyDescent="0.2">
      <c r="A365" s="12">
        <v>21</v>
      </c>
      <c r="B365" s="12" t="s">
        <v>23</v>
      </c>
      <c r="C365" s="9"/>
      <c r="D365" s="9"/>
      <c r="E365" s="9"/>
      <c r="F365" s="9"/>
      <c r="G365" s="9"/>
      <c r="H365" s="9">
        <v>12</v>
      </c>
      <c r="I365" s="9"/>
      <c r="J365" s="9"/>
      <c r="K365" s="12" t="s">
        <v>17</v>
      </c>
      <c r="L365" s="35">
        <f t="shared" si="53"/>
        <v>0</v>
      </c>
      <c r="M365" s="10" t="s">
        <v>60</v>
      </c>
      <c r="N365" s="9" t="s">
        <v>396</v>
      </c>
      <c r="O365" s="10"/>
      <c r="P365" s="9"/>
    </row>
    <row r="366" spans="1:16" hidden="1" x14ac:dyDescent="0.2">
      <c r="A366" s="12">
        <v>21</v>
      </c>
      <c r="B366" s="12" t="s">
        <v>23</v>
      </c>
      <c r="C366" s="9"/>
      <c r="D366" s="9"/>
      <c r="E366" s="9"/>
      <c r="F366" s="9"/>
      <c r="G366" s="9"/>
      <c r="H366" s="9">
        <v>12</v>
      </c>
      <c r="I366" s="9"/>
      <c r="J366" s="9"/>
      <c r="K366" s="12" t="s">
        <v>17</v>
      </c>
      <c r="L366" s="35">
        <f t="shared" si="53"/>
        <v>0</v>
      </c>
      <c r="M366" s="10" t="s">
        <v>60</v>
      </c>
      <c r="N366" s="9" t="s">
        <v>397</v>
      </c>
      <c r="O366" s="10"/>
      <c r="P366" s="9"/>
    </row>
    <row r="367" spans="1:16" hidden="1" x14ac:dyDescent="0.2">
      <c r="A367" s="12">
        <v>21</v>
      </c>
      <c r="B367" s="12" t="s">
        <v>23</v>
      </c>
      <c r="C367" s="9">
        <v>10</v>
      </c>
      <c r="D367" s="9"/>
      <c r="E367" s="9"/>
      <c r="F367" s="9"/>
      <c r="G367" s="9"/>
      <c r="H367" s="9">
        <v>4.25</v>
      </c>
      <c r="I367" s="9"/>
      <c r="J367" s="9">
        <v>2.13</v>
      </c>
      <c r="K367" s="12" t="s">
        <v>17</v>
      </c>
      <c r="L367" s="35">
        <f t="shared" si="53"/>
        <v>0</v>
      </c>
      <c r="M367" s="10" t="s">
        <v>60</v>
      </c>
      <c r="N367" s="9" t="s">
        <v>398</v>
      </c>
      <c r="O367" s="10"/>
      <c r="P367" s="9"/>
    </row>
    <row r="368" spans="1:16" hidden="1" x14ac:dyDescent="0.2">
      <c r="A368" s="12">
        <v>21</v>
      </c>
      <c r="B368" s="12" t="s">
        <v>23</v>
      </c>
      <c r="C368" s="9"/>
      <c r="D368" s="9"/>
      <c r="E368" s="9"/>
      <c r="F368" s="9"/>
      <c r="G368" s="9"/>
      <c r="H368" s="9">
        <v>4</v>
      </c>
      <c r="I368" s="9"/>
      <c r="J368" s="9"/>
      <c r="K368" s="12" t="s">
        <v>17</v>
      </c>
      <c r="L368" s="35">
        <f t="shared" si="53"/>
        <v>0</v>
      </c>
      <c r="M368" s="10" t="s">
        <v>60</v>
      </c>
      <c r="N368" s="9" t="s">
        <v>399</v>
      </c>
      <c r="O368" s="10"/>
      <c r="P368" s="9"/>
    </row>
    <row r="369" spans="1:16" hidden="1" x14ac:dyDescent="0.2">
      <c r="A369" s="12">
        <v>21</v>
      </c>
      <c r="B369" s="12" t="s">
        <v>23</v>
      </c>
      <c r="C369" s="9"/>
      <c r="D369" s="9"/>
      <c r="E369" s="9"/>
      <c r="F369" s="9"/>
      <c r="G369" s="9"/>
      <c r="H369" s="9">
        <v>20.239999999999998</v>
      </c>
      <c r="I369" s="9"/>
      <c r="J369" s="9"/>
      <c r="K369" s="12" t="s">
        <v>17</v>
      </c>
      <c r="L369" s="35">
        <f t="shared" si="53"/>
        <v>0</v>
      </c>
      <c r="M369" s="10" t="s">
        <v>60</v>
      </c>
      <c r="N369" s="9" t="s">
        <v>400</v>
      </c>
      <c r="O369" s="10"/>
      <c r="P369" s="9"/>
    </row>
    <row r="370" spans="1:16" hidden="1" x14ac:dyDescent="0.2">
      <c r="A370" s="12">
        <v>21</v>
      </c>
      <c r="B370" s="12" t="s">
        <v>23</v>
      </c>
      <c r="C370" s="9"/>
      <c r="D370" s="9"/>
      <c r="E370" s="9"/>
      <c r="F370" s="9"/>
      <c r="G370" s="9"/>
      <c r="H370" s="9">
        <v>17.489999999999998</v>
      </c>
      <c r="I370" s="9"/>
      <c r="J370" s="9"/>
      <c r="K370" s="12" t="s">
        <v>17</v>
      </c>
      <c r="L370" s="35">
        <f t="shared" si="53"/>
        <v>0</v>
      </c>
      <c r="M370" s="10" t="s">
        <v>60</v>
      </c>
      <c r="N370" s="9" t="s">
        <v>401</v>
      </c>
      <c r="O370" s="10"/>
      <c r="P370" s="9"/>
    </row>
    <row r="371" spans="1:16" hidden="1" x14ac:dyDescent="0.2">
      <c r="A371" s="12">
        <v>21</v>
      </c>
      <c r="B371" s="12" t="s">
        <v>23</v>
      </c>
      <c r="C371" s="9"/>
      <c r="D371" s="9"/>
      <c r="E371" s="9"/>
      <c r="F371" s="9"/>
      <c r="G371" s="9"/>
      <c r="H371" s="9">
        <v>17.489999999999998</v>
      </c>
      <c r="I371" s="9"/>
      <c r="J371" s="9"/>
      <c r="K371" s="12" t="s">
        <v>17</v>
      </c>
      <c r="L371" s="35">
        <f t="shared" si="53"/>
        <v>0</v>
      </c>
      <c r="M371" s="10" t="s">
        <v>60</v>
      </c>
      <c r="N371" s="9" t="s">
        <v>402</v>
      </c>
      <c r="O371" s="10"/>
      <c r="P371" s="9"/>
    </row>
    <row r="372" spans="1:16" hidden="1" x14ac:dyDescent="0.2">
      <c r="A372" s="12">
        <v>21</v>
      </c>
      <c r="B372" s="12" t="s">
        <v>23</v>
      </c>
      <c r="C372" s="9"/>
      <c r="D372" s="9"/>
      <c r="E372" s="9"/>
      <c r="F372" s="9"/>
      <c r="G372" s="9"/>
      <c r="H372" s="9">
        <v>20.239999999999998</v>
      </c>
      <c r="I372" s="9"/>
      <c r="J372" s="9"/>
      <c r="K372" s="12" t="s">
        <v>17</v>
      </c>
      <c r="L372" s="35">
        <f t="shared" si="53"/>
        <v>0</v>
      </c>
      <c r="M372" s="10" t="s">
        <v>60</v>
      </c>
      <c r="N372" s="9" t="s">
        <v>403</v>
      </c>
      <c r="O372" s="10"/>
      <c r="P372" s="9"/>
    </row>
    <row r="373" spans="1:16" hidden="1" x14ac:dyDescent="0.2">
      <c r="A373" s="12">
        <v>21</v>
      </c>
      <c r="B373" s="12" t="s">
        <v>23</v>
      </c>
      <c r="C373" s="9"/>
      <c r="D373" s="9"/>
      <c r="E373" s="9"/>
      <c r="F373" s="9"/>
      <c r="G373" s="9"/>
      <c r="H373" s="9">
        <v>7.25</v>
      </c>
      <c r="I373" s="9"/>
      <c r="J373" s="9"/>
      <c r="K373" s="12" t="s">
        <v>17</v>
      </c>
      <c r="L373" s="35">
        <f t="shared" si="53"/>
        <v>0</v>
      </c>
      <c r="M373" s="10" t="s">
        <v>60</v>
      </c>
      <c r="N373" s="9" t="s">
        <v>405</v>
      </c>
      <c r="O373" s="10"/>
      <c r="P373" s="9"/>
    </row>
    <row r="374" spans="1:16" hidden="1" x14ac:dyDescent="0.2">
      <c r="A374" s="12">
        <v>21</v>
      </c>
      <c r="B374" s="12" t="s">
        <v>23</v>
      </c>
      <c r="C374" s="9"/>
      <c r="D374" s="9"/>
      <c r="E374" s="9"/>
      <c r="F374" s="9"/>
      <c r="G374" s="9"/>
      <c r="H374" s="9">
        <v>7.25</v>
      </c>
      <c r="I374" s="9"/>
      <c r="J374" s="9"/>
      <c r="K374" s="12" t="s">
        <v>17</v>
      </c>
      <c r="L374" s="35">
        <f t="shared" si="53"/>
        <v>0</v>
      </c>
      <c r="M374" s="10" t="s">
        <v>60</v>
      </c>
      <c r="N374" s="9" t="s">
        <v>406</v>
      </c>
      <c r="O374" s="10"/>
      <c r="P374" s="9"/>
    </row>
    <row r="375" spans="1:16" hidden="1" x14ac:dyDescent="0.2">
      <c r="A375" s="12">
        <v>21</v>
      </c>
      <c r="B375" s="12" t="s">
        <v>23</v>
      </c>
      <c r="C375" s="9"/>
      <c r="D375" s="9"/>
      <c r="E375" s="9"/>
      <c r="F375" s="9"/>
      <c r="G375" s="9"/>
      <c r="H375" s="9">
        <v>18.5</v>
      </c>
      <c r="I375" s="9"/>
      <c r="J375" s="9"/>
      <c r="K375" s="12" t="s">
        <v>17</v>
      </c>
      <c r="L375" s="35">
        <f t="shared" si="53"/>
        <v>0</v>
      </c>
      <c r="M375" s="10" t="s">
        <v>60</v>
      </c>
      <c r="N375" s="9" t="s">
        <v>404</v>
      </c>
      <c r="O375" s="10"/>
      <c r="P375" s="9"/>
    </row>
    <row r="376" spans="1:16" hidden="1" x14ac:dyDescent="0.2">
      <c r="A376" s="12">
        <v>21</v>
      </c>
      <c r="B376" s="12" t="s">
        <v>20</v>
      </c>
      <c r="C376" s="9">
        <v>22</v>
      </c>
      <c r="D376" s="9"/>
      <c r="E376" s="9"/>
      <c r="F376" s="9"/>
      <c r="G376" s="9"/>
      <c r="H376" s="9"/>
      <c r="I376" s="9"/>
      <c r="J376" s="9">
        <v>3.3</v>
      </c>
      <c r="K376" s="12" t="s">
        <v>17</v>
      </c>
      <c r="L376" s="35">
        <f t="shared" si="53"/>
        <v>0</v>
      </c>
      <c r="M376" s="10" t="s">
        <v>60</v>
      </c>
      <c r="N376" s="9" t="s">
        <v>407</v>
      </c>
      <c r="O376" s="10"/>
      <c r="P376" s="9"/>
    </row>
    <row r="377" spans="1:16" hidden="1" x14ac:dyDescent="0.2">
      <c r="A377" s="12">
        <v>21</v>
      </c>
      <c r="B377" s="12" t="s">
        <v>20</v>
      </c>
      <c r="C377" s="9">
        <v>45.5</v>
      </c>
      <c r="D377" s="9"/>
      <c r="E377" s="9"/>
      <c r="F377" s="9"/>
      <c r="G377" s="9"/>
      <c r="H377" s="9"/>
      <c r="I377" s="9"/>
      <c r="J377" s="9">
        <v>8.19</v>
      </c>
      <c r="K377" s="12" t="s">
        <v>17</v>
      </c>
      <c r="L377" s="35">
        <f t="shared" si="53"/>
        <v>0</v>
      </c>
      <c r="M377" s="10" t="s">
        <v>60</v>
      </c>
      <c r="N377" s="9" t="s">
        <v>408</v>
      </c>
      <c r="O377" s="10"/>
      <c r="P377" s="9"/>
    </row>
    <row r="378" spans="1:16" hidden="1" x14ac:dyDescent="0.2">
      <c r="A378" s="12">
        <v>21</v>
      </c>
      <c r="B378" s="12" t="s">
        <v>23</v>
      </c>
      <c r="C378" s="9">
        <v>49</v>
      </c>
      <c r="D378" s="9"/>
      <c r="E378" s="9"/>
      <c r="F378" s="9"/>
      <c r="G378" s="9"/>
      <c r="H378" s="9"/>
      <c r="I378" s="9"/>
      <c r="J378" s="9">
        <v>7.35</v>
      </c>
      <c r="K378" s="12" t="s">
        <v>17</v>
      </c>
      <c r="L378" s="35">
        <f t="shared" si="53"/>
        <v>0</v>
      </c>
      <c r="M378" s="10" t="s">
        <v>60</v>
      </c>
      <c r="N378" s="9" t="s">
        <v>409</v>
      </c>
      <c r="O378" s="10"/>
      <c r="P378" s="9"/>
    </row>
    <row r="379" spans="1:16" hidden="1" x14ac:dyDescent="0.2">
      <c r="A379" s="12">
        <v>21</v>
      </c>
      <c r="B379" s="12" t="s">
        <v>23</v>
      </c>
      <c r="C379" s="9"/>
      <c r="D379" s="9"/>
      <c r="E379" s="9"/>
      <c r="F379" s="9"/>
      <c r="G379" s="9"/>
      <c r="H379" s="9">
        <v>15.49</v>
      </c>
      <c r="I379" s="9"/>
      <c r="J379" s="9"/>
      <c r="K379" s="12" t="s">
        <v>17</v>
      </c>
      <c r="L379" s="35">
        <f t="shared" si="53"/>
        <v>0</v>
      </c>
      <c r="M379" s="10" t="s">
        <v>60</v>
      </c>
      <c r="N379" s="9" t="s">
        <v>410</v>
      </c>
      <c r="O379" s="10"/>
      <c r="P379" s="9"/>
    </row>
    <row r="380" spans="1:16" hidden="1" x14ac:dyDescent="0.2">
      <c r="A380" s="12">
        <v>21</v>
      </c>
      <c r="B380" s="12" t="s">
        <v>23</v>
      </c>
      <c r="C380" s="9">
        <v>6.75</v>
      </c>
      <c r="D380" s="9"/>
      <c r="E380" s="9"/>
      <c r="F380" s="9"/>
      <c r="G380" s="9"/>
      <c r="H380" s="9"/>
      <c r="I380" s="9"/>
      <c r="J380" s="9">
        <v>0.81</v>
      </c>
      <c r="K380" s="12" t="s">
        <v>16</v>
      </c>
      <c r="L380" s="35">
        <f t="shared" si="53"/>
        <v>0</v>
      </c>
      <c r="M380" s="10" t="s">
        <v>58</v>
      </c>
      <c r="N380" s="9" t="s">
        <v>173</v>
      </c>
      <c r="O380" s="10"/>
      <c r="P380" s="9"/>
    </row>
    <row r="381" spans="1:16" hidden="1" x14ac:dyDescent="0.2">
      <c r="A381" s="12">
        <v>21</v>
      </c>
      <c r="B381" s="12" t="s">
        <v>23</v>
      </c>
      <c r="C381" s="9">
        <v>80</v>
      </c>
      <c r="D381" s="9"/>
      <c r="E381" s="9"/>
      <c r="F381" s="9"/>
      <c r="G381" s="9">
        <v>8.75</v>
      </c>
      <c r="H381" s="9"/>
      <c r="I381" s="9"/>
      <c r="J381" s="9">
        <v>13.31</v>
      </c>
      <c r="K381" s="12" t="s">
        <v>16</v>
      </c>
      <c r="L381" s="35">
        <f t="shared" si="53"/>
        <v>0</v>
      </c>
      <c r="M381" s="10" t="s">
        <v>58</v>
      </c>
      <c r="N381" s="9" t="s">
        <v>109</v>
      </c>
      <c r="O381" s="10"/>
      <c r="P381" s="9"/>
    </row>
    <row r="382" spans="1:16" hidden="1" x14ac:dyDescent="0.2">
      <c r="A382" s="12">
        <v>21</v>
      </c>
      <c r="B382" s="12" t="s">
        <v>23</v>
      </c>
      <c r="C382" s="9">
        <v>65.5</v>
      </c>
      <c r="D382" s="9"/>
      <c r="E382" s="9"/>
      <c r="F382" s="9"/>
      <c r="G382" s="9"/>
      <c r="H382" s="9"/>
      <c r="I382" s="9"/>
      <c r="J382" s="9">
        <v>9.81</v>
      </c>
      <c r="K382" s="12" t="s">
        <v>16</v>
      </c>
      <c r="L382" s="35">
        <f t="shared" si="53"/>
        <v>0</v>
      </c>
      <c r="M382" s="10" t="s">
        <v>58</v>
      </c>
      <c r="N382" s="9" t="s">
        <v>415</v>
      </c>
      <c r="O382" s="10"/>
      <c r="P382" s="9"/>
    </row>
    <row r="383" spans="1:16" hidden="1" x14ac:dyDescent="0.2">
      <c r="A383" s="12">
        <v>21</v>
      </c>
      <c r="B383" s="12" t="s">
        <v>23</v>
      </c>
      <c r="C383" s="9">
        <v>6</v>
      </c>
      <c r="D383" s="9"/>
      <c r="E383" s="9"/>
      <c r="F383" s="9"/>
      <c r="G383" s="9"/>
      <c r="H383" s="9"/>
      <c r="I383" s="9"/>
      <c r="J383" s="9">
        <v>0.9</v>
      </c>
      <c r="K383" s="12" t="s">
        <v>16</v>
      </c>
      <c r="L383" s="35">
        <f t="shared" si="53"/>
        <v>0</v>
      </c>
      <c r="M383" s="10" t="s">
        <v>58</v>
      </c>
      <c r="N383" s="9" t="s">
        <v>412</v>
      </c>
      <c r="O383" s="10"/>
      <c r="P383" s="9"/>
    </row>
    <row r="384" spans="1:16" hidden="1" x14ac:dyDescent="0.2">
      <c r="A384" s="12">
        <v>21</v>
      </c>
      <c r="B384" s="12" t="s">
        <v>23</v>
      </c>
      <c r="C384" s="9">
        <v>14.5</v>
      </c>
      <c r="D384" s="9"/>
      <c r="E384" s="9"/>
      <c r="F384" s="9"/>
      <c r="G384" s="9"/>
      <c r="H384" s="9"/>
      <c r="I384" s="9"/>
      <c r="J384" s="9">
        <v>2.1800000000000002</v>
      </c>
      <c r="K384" s="12" t="s">
        <v>16</v>
      </c>
      <c r="L384" s="35">
        <f t="shared" si="53"/>
        <v>0</v>
      </c>
      <c r="M384" s="10" t="s">
        <v>58</v>
      </c>
      <c r="N384" s="9" t="s">
        <v>413</v>
      </c>
      <c r="O384" s="10"/>
      <c r="P384" s="9"/>
    </row>
    <row r="385" spans="1:16" hidden="1" x14ac:dyDescent="0.2">
      <c r="A385" s="12">
        <v>21</v>
      </c>
      <c r="B385" s="12" t="s">
        <v>23</v>
      </c>
      <c r="C385" s="9">
        <v>10.75</v>
      </c>
      <c r="D385" s="9"/>
      <c r="E385" s="9"/>
      <c r="F385" s="9"/>
      <c r="G385" s="9"/>
      <c r="H385" s="9"/>
      <c r="I385" s="9"/>
      <c r="J385" s="9">
        <v>1.29</v>
      </c>
      <c r="K385" s="12" t="s">
        <v>16</v>
      </c>
      <c r="L385" s="35">
        <f t="shared" si="53"/>
        <v>0</v>
      </c>
      <c r="M385" s="10" t="s">
        <v>58</v>
      </c>
      <c r="N385" s="9" t="s">
        <v>414</v>
      </c>
      <c r="O385" s="10"/>
      <c r="P385" s="9"/>
    </row>
    <row r="386" spans="1:16" hidden="1" x14ac:dyDescent="0.2">
      <c r="A386" s="12">
        <v>21</v>
      </c>
      <c r="B386" s="12" t="s">
        <v>23</v>
      </c>
      <c r="C386" s="9">
        <v>6</v>
      </c>
      <c r="D386" s="9"/>
      <c r="E386" s="9"/>
      <c r="F386" s="9"/>
      <c r="G386" s="9"/>
      <c r="H386" s="9"/>
      <c r="I386" s="9"/>
      <c r="J386" s="9">
        <v>0.9</v>
      </c>
      <c r="K386" s="12" t="s">
        <v>16</v>
      </c>
      <c r="L386" s="35">
        <f t="shared" si="53"/>
        <v>0</v>
      </c>
      <c r="M386" s="10" t="s">
        <v>58</v>
      </c>
      <c r="N386" s="9" t="s">
        <v>109</v>
      </c>
      <c r="O386" s="10"/>
      <c r="P386" s="9"/>
    </row>
    <row r="387" spans="1:16" hidden="1" x14ac:dyDescent="0.2">
      <c r="A387" s="12">
        <v>21</v>
      </c>
      <c r="B387" s="12" t="s">
        <v>23</v>
      </c>
      <c r="C387" s="9">
        <v>6</v>
      </c>
      <c r="D387" s="9"/>
      <c r="E387" s="9"/>
      <c r="F387" s="9"/>
      <c r="G387" s="9"/>
      <c r="H387" s="9"/>
      <c r="I387" s="9"/>
      <c r="J387" s="9"/>
      <c r="K387" s="12" t="s">
        <v>17</v>
      </c>
      <c r="L387" s="35">
        <f t="shared" si="53"/>
        <v>0</v>
      </c>
      <c r="M387" s="10" t="s">
        <v>58</v>
      </c>
      <c r="N387" s="9" t="s">
        <v>379</v>
      </c>
      <c r="O387" s="10"/>
      <c r="P387" s="9"/>
    </row>
    <row r="388" spans="1:16" hidden="1" x14ac:dyDescent="0.2">
      <c r="A388" s="12">
        <v>21</v>
      </c>
      <c r="B388" s="12" t="s">
        <v>23</v>
      </c>
      <c r="C388" s="9">
        <v>6</v>
      </c>
      <c r="D388" s="9"/>
      <c r="E388" s="9"/>
      <c r="F388" s="9"/>
      <c r="G388" s="9"/>
      <c r="H388" s="9"/>
      <c r="I388" s="9"/>
      <c r="J388" s="9">
        <v>0.72</v>
      </c>
      <c r="K388" s="12" t="s">
        <v>17</v>
      </c>
      <c r="L388" s="35">
        <f t="shared" si="53"/>
        <v>0</v>
      </c>
      <c r="M388" s="10" t="s">
        <v>60</v>
      </c>
      <c r="N388" s="9" t="s">
        <v>411</v>
      </c>
      <c r="O388" s="10"/>
      <c r="P388" s="9"/>
    </row>
    <row r="389" spans="1:16" hidden="1" x14ac:dyDescent="0.2">
      <c r="A389" s="12">
        <v>22</v>
      </c>
      <c r="B389" s="12" t="s">
        <v>23</v>
      </c>
      <c r="C389" s="9"/>
      <c r="D389" s="9"/>
      <c r="E389" s="9"/>
      <c r="F389" s="9"/>
      <c r="G389" s="9"/>
      <c r="H389" s="9">
        <v>7.25</v>
      </c>
      <c r="I389" s="9"/>
      <c r="J389" s="9"/>
      <c r="K389" s="12" t="s">
        <v>17</v>
      </c>
      <c r="L389" s="35">
        <f t="shared" ref="L389" si="54">SUBTOTAL(9,C389:J389)</f>
        <v>0</v>
      </c>
      <c r="M389" s="10" t="s">
        <v>60</v>
      </c>
      <c r="N389" s="9" t="s">
        <v>416</v>
      </c>
      <c r="O389" s="10"/>
      <c r="P389" s="9"/>
    </row>
    <row r="390" spans="1:16" hidden="1" x14ac:dyDescent="0.2">
      <c r="A390" s="12">
        <v>22</v>
      </c>
      <c r="B390" s="12" t="s">
        <v>23</v>
      </c>
      <c r="C390" s="9"/>
      <c r="D390" s="9"/>
      <c r="E390" s="9"/>
      <c r="F390" s="9"/>
      <c r="G390" s="9"/>
      <c r="H390" s="9">
        <v>7.25</v>
      </c>
      <c r="I390" s="9"/>
      <c r="J390" s="9"/>
      <c r="K390" s="12" t="s">
        <v>17</v>
      </c>
      <c r="L390" s="35">
        <f t="shared" ref="L390:L416" si="55">SUBTOTAL(9,C390:J390)</f>
        <v>0</v>
      </c>
      <c r="M390" s="10" t="s">
        <v>60</v>
      </c>
      <c r="N390" s="9" t="s">
        <v>417</v>
      </c>
      <c r="O390" s="10"/>
      <c r="P390" s="9"/>
    </row>
    <row r="391" spans="1:16" hidden="1" x14ac:dyDescent="0.2">
      <c r="A391" s="12">
        <v>22</v>
      </c>
      <c r="B391" s="12" t="s">
        <v>23</v>
      </c>
      <c r="C391" s="9"/>
      <c r="D391" s="9"/>
      <c r="E391" s="9"/>
      <c r="F391" s="9"/>
      <c r="G391" s="9"/>
      <c r="H391" s="9">
        <v>7.25</v>
      </c>
      <c r="I391" s="9"/>
      <c r="J391" s="9"/>
      <c r="K391" s="12" t="s">
        <v>17</v>
      </c>
      <c r="L391" s="35">
        <f t="shared" si="55"/>
        <v>0</v>
      </c>
      <c r="M391" s="10" t="s">
        <v>60</v>
      </c>
      <c r="N391" s="9" t="s">
        <v>418</v>
      </c>
      <c r="O391" s="10"/>
      <c r="P391" s="9"/>
    </row>
    <row r="392" spans="1:16" hidden="1" x14ac:dyDescent="0.2">
      <c r="A392" s="12">
        <v>22</v>
      </c>
      <c r="B392" s="12" t="s">
        <v>23</v>
      </c>
      <c r="C392" s="9"/>
      <c r="D392" s="9"/>
      <c r="E392" s="9"/>
      <c r="F392" s="9"/>
      <c r="G392" s="9"/>
      <c r="H392" s="9">
        <v>7.25</v>
      </c>
      <c r="I392" s="9"/>
      <c r="J392" s="9"/>
      <c r="K392" s="12" t="s">
        <v>17</v>
      </c>
      <c r="L392" s="35">
        <f t="shared" si="55"/>
        <v>0</v>
      </c>
      <c r="M392" s="10" t="s">
        <v>60</v>
      </c>
      <c r="N392" s="9" t="s">
        <v>419</v>
      </c>
      <c r="O392" s="10"/>
      <c r="P392" s="9"/>
    </row>
    <row r="393" spans="1:16" hidden="1" x14ac:dyDescent="0.2">
      <c r="A393" s="12">
        <v>22</v>
      </c>
      <c r="B393" s="12" t="s">
        <v>23</v>
      </c>
      <c r="C393" s="9"/>
      <c r="D393" s="9"/>
      <c r="E393" s="9"/>
      <c r="F393" s="9"/>
      <c r="G393" s="9"/>
      <c r="H393" s="9">
        <v>7.25</v>
      </c>
      <c r="I393" s="9"/>
      <c r="J393" s="9"/>
      <c r="K393" s="12" t="s">
        <v>17</v>
      </c>
      <c r="L393" s="35">
        <f t="shared" si="55"/>
        <v>0</v>
      </c>
      <c r="M393" s="10" t="s">
        <v>60</v>
      </c>
      <c r="N393" s="9" t="s">
        <v>420</v>
      </c>
      <c r="O393" s="10"/>
      <c r="P393" s="9"/>
    </row>
    <row r="394" spans="1:16" hidden="1" x14ac:dyDescent="0.2">
      <c r="A394" s="12">
        <v>22</v>
      </c>
      <c r="B394" s="12" t="s">
        <v>23</v>
      </c>
      <c r="C394" s="9"/>
      <c r="D394" s="9"/>
      <c r="E394" s="9"/>
      <c r="F394" s="9"/>
      <c r="G394" s="9"/>
      <c r="H394" s="9">
        <v>7.25</v>
      </c>
      <c r="I394" s="9"/>
      <c r="J394" s="9"/>
      <c r="K394" s="12" t="s">
        <v>17</v>
      </c>
      <c r="L394" s="35">
        <f t="shared" si="55"/>
        <v>0</v>
      </c>
      <c r="M394" s="10" t="s">
        <v>60</v>
      </c>
      <c r="N394" s="9" t="s">
        <v>421</v>
      </c>
      <c r="O394" s="10"/>
      <c r="P394" s="9"/>
    </row>
    <row r="395" spans="1:16" hidden="1" x14ac:dyDescent="0.2">
      <c r="A395" s="12">
        <v>22</v>
      </c>
      <c r="B395" s="12" t="s">
        <v>23</v>
      </c>
      <c r="C395" s="9"/>
      <c r="D395" s="9"/>
      <c r="E395" s="9"/>
      <c r="F395" s="9"/>
      <c r="G395" s="9"/>
      <c r="H395" s="9">
        <v>7.25</v>
      </c>
      <c r="I395" s="9"/>
      <c r="J395" s="9"/>
      <c r="K395" s="12" t="s">
        <v>17</v>
      </c>
      <c r="L395" s="35">
        <f t="shared" si="55"/>
        <v>0</v>
      </c>
      <c r="M395" s="10" t="s">
        <v>60</v>
      </c>
      <c r="N395" s="9" t="s">
        <v>422</v>
      </c>
      <c r="O395" s="10"/>
      <c r="P395" s="9"/>
    </row>
    <row r="396" spans="1:16" hidden="1" x14ac:dyDescent="0.2">
      <c r="A396" s="12">
        <v>22</v>
      </c>
      <c r="B396" s="12" t="s">
        <v>23</v>
      </c>
      <c r="C396" s="9"/>
      <c r="D396" s="9"/>
      <c r="E396" s="9"/>
      <c r="F396" s="9"/>
      <c r="G396" s="9"/>
      <c r="H396" s="9">
        <v>7.25</v>
      </c>
      <c r="I396" s="9"/>
      <c r="J396" s="9"/>
      <c r="K396" s="12" t="s">
        <v>17</v>
      </c>
      <c r="L396" s="35">
        <f t="shared" si="55"/>
        <v>0</v>
      </c>
      <c r="M396" s="10" t="s">
        <v>60</v>
      </c>
      <c r="N396" s="9" t="s">
        <v>423</v>
      </c>
      <c r="O396" s="10"/>
      <c r="P396" s="9"/>
    </row>
    <row r="397" spans="1:16" hidden="1" x14ac:dyDescent="0.2">
      <c r="A397" s="12">
        <v>22</v>
      </c>
      <c r="B397" s="12" t="s">
        <v>23</v>
      </c>
      <c r="C397" s="9"/>
      <c r="D397" s="9"/>
      <c r="E397" s="9"/>
      <c r="F397" s="9"/>
      <c r="G397" s="9"/>
      <c r="H397" s="9">
        <v>7.25</v>
      </c>
      <c r="I397" s="9"/>
      <c r="J397" s="9"/>
      <c r="K397" s="12" t="s">
        <v>17</v>
      </c>
      <c r="L397" s="35">
        <f t="shared" si="55"/>
        <v>0</v>
      </c>
      <c r="M397" s="10" t="s">
        <v>60</v>
      </c>
      <c r="N397" s="9" t="s">
        <v>424</v>
      </c>
      <c r="O397" s="10"/>
      <c r="P397" s="9"/>
    </row>
    <row r="398" spans="1:16" hidden="1" x14ac:dyDescent="0.2">
      <c r="A398" s="12">
        <v>22</v>
      </c>
      <c r="B398" s="12" t="s">
        <v>23</v>
      </c>
      <c r="C398" s="9"/>
      <c r="D398" s="9"/>
      <c r="E398" s="9"/>
      <c r="F398" s="9"/>
      <c r="G398" s="9"/>
      <c r="H398" s="9">
        <v>7.25</v>
      </c>
      <c r="I398" s="9"/>
      <c r="J398" s="9"/>
      <c r="K398" s="12" t="s">
        <v>17</v>
      </c>
      <c r="L398" s="35">
        <f t="shared" si="55"/>
        <v>0</v>
      </c>
      <c r="M398" s="10" t="s">
        <v>60</v>
      </c>
      <c r="N398" s="9" t="s">
        <v>418</v>
      </c>
      <c r="O398" s="10"/>
      <c r="P398" s="9"/>
    </row>
    <row r="399" spans="1:16" hidden="1" x14ac:dyDescent="0.2">
      <c r="A399" s="12">
        <v>22</v>
      </c>
      <c r="B399" s="12" t="s">
        <v>23</v>
      </c>
      <c r="C399" s="9"/>
      <c r="D399" s="9"/>
      <c r="E399" s="9"/>
      <c r="F399" s="9"/>
      <c r="G399" s="9"/>
      <c r="H399" s="9">
        <v>7.25</v>
      </c>
      <c r="I399" s="9"/>
      <c r="J399" s="9"/>
      <c r="K399" s="12" t="s">
        <v>17</v>
      </c>
      <c r="L399" s="35">
        <f t="shared" si="55"/>
        <v>0</v>
      </c>
      <c r="M399" s="10" t="s">
        <v>60</v>
      </c>
      <c r="N399" s="9" t="s">
        <v>425</v>
      </c>
      <c r="O399" s="10"/>
      <c r="P399" s="9"/>
    </row>
    <row r="400" spans="1:16" hidden="1" x14ac:dyDescent="0.2">
      <c r="A400" s="12">
        <v>22</v>
      </c>
      <c r="B400" s="12" t="s">
        <v>23</v>
      </c>
      <c r="C400" s="9"/>
      <c r="D400" s="9"/>
      <c r="E400" s="9"/>
      <c r="F400" s="9"/>
      <c r="G400" s="9"/>
      <c r="H400" s="9">
        <v>7.25</v>
      </c>
      <c r="I400" s="9"/>
      <c r="J400" s="9"/>
      <c r="K400" s="12" t="s">
        <v>17</v>
      </c>
      <c r="L400" s="35">
        <f t="shared" si="55"/>
        <v>0</v>
      </c>
      <c r="M400" s="10" t="s">
        <v>60</v>
      </c>
      <c r="N400" s="9" t="s">
        <v>426</v>
      </c>
      <c r="O400" s="10"/>
      <c r="P400" s="9"/>
    </row>
    <row r="401" spans="1:16" hidden="1" x14ac:dyDescent="0.2">
      <c r="A401" s="12">
        <v>22</v>
      </c>
      <c r="B401" s="12" t="s">
        <v>23</v>
      </c>
      <c r="C401" s="9"/>
      <c r="D401" s="9"/>
      <c r="E401" s="9"/>
      <c r="F401" s="9"/>
      <c r="G401" s="9"/>
      <c r="H401" s="9">
        <v>7.25</v>
      </c>
      <c r="I401" s="9"/>
      <c r="J401" s="9"/>
      <c r="K401" s="12" t="s">
        <v>17</v>
      </c>
      <c r="L401" s="35">
        <f t="shared" si="55"/>
        <v>0</v>
      </c>
      <c r="M401" s="10" t="s">
        <v>60</v>
      </c>
      <c r="N401" s="9" t="s">
        <v>427</v>
      </c>
      <c r="O401" s="10"/>
      <c r="P401" s="9"/>
    </row>
    <row r="402" spans="1:16" hidden="1" x14ac:dyDescent="0.2">
      <c r="A402" s="12">
        <v>22</v>
      </c>
      <c r="B402" s="12" t="s">
        <v>23</v>
      </c>
      <c r="C402" s="9"/>
      <c r="D402" s="9"/>
      <c r="E402" s="9"/>
      <c r="F402" s="9"/>
      <c r="G402" s="9"/>
      <c r="H402" s="9">
        <v>7.25</v>
      </c>
      <c r="I402" s="9"/>
      <c r="J402" s="9"/>
      <c r="K402" s="12" t="s">
        <v>17</v>
      </c>
      <c r="L402" s="35">
        <f t="shared" si="55"/>
        <v>0</v>
      </c>
      <c r="M402" s="10" t="s">
        <v>60</v>
      </c>
      <c r="N402" s="9" t="s">
        <v>428</v>
      </c>
      <c r="O402" s="10"/>
      <c r="P402" s="9"/>
    </row>
    <row r="403" spans="1:16" hidden="1" x14ac:dyDescent="0.2">
      <c r="A403" s="12">
        <v>22</v>
      </c>
      <c r="B403" s="12" t="s">
        <v>23</v>
      </c>
      <c r="C403" s="9"/>
      <c r="D403" s="9"/>
      <c r="E403" s="9"/>
      <c r="F403" s="9"/>
      <c r="G403" s="9"/>
      <c r="H403" s="9">
        <v>7.25</v>
      </c>
      <c r="I403" s="9"/>
      <c r="J403" s="9"/>
      <c r="K403" s="12" t="s">
        <v>17</v>
      </c>
      <c r="L403" s="35">
        <f t="shared" si="55"/>
        <v>0</v>
      </c>
      <c r="M403" s="10" t="s">
        <v>60</v>
      </c>
      <c r="N403" s="9" t="s">
        <v>429</v>
      </c>
      <c r="O403" s="10"/>
      <c r="P403" s="9"/>
    </row>
    <row r="404" spans="1:16" hidden="1" x14ac:dyDescent="0.2">
      <c r="A404" s="12">
        <v>22</v>
      </c>
      <c r="B404" s="12" t="s">
        <v>23</v>
      </c>
      <c r="C404" s="9"/>
      <c r="D404" s="9"/>
      <c r="E404" s="9"/>
      <c r="F404" s="9"/>
      <c r="G404" s="9"/>
      <c r="H404" s="9">
        <v>34.99</v>
      </c>
      <c r="I404" s="9"/>
      <c r="J404" s="9"/>
      <c r="K404" s="12" t="s">
        <v>17</v>
      </c>
      <c r="L404" s="35">
        <f t="shared" si="55"/>
        <v>0</v>
      </c>
      <c r="M404" s="10" t="s">
        <v>60</v>
      </c>
      <c r="N404" s="9" t="s">
        <v>430</v>
      </c>
      <c r="O404" s="10"/>
      <c r="P404" s="9"/>
    </row>
    <row r="405" spans="1:16" hidden="1" x14ac:dyDescent="0.2">
      <c r="A405" s="12">
        <v>22</v>
      </c>
      <c r="B405" s="12" t="s">
        <v>23</v>
      </c>
      <c r="C405" s="9"/>
      <c r="D405" s="9"/>
      <c r="E405" s="9"/>
      <c r="F405" s="9"/>
      <c r="G405" s="9"/>
      <c r="H405" s="9">
        <v>19.989999999999998</v>
      </c>
      <c r="I405" s="9"/>
      <c r="J405" s="9"/>
      <c r="K405" s="12" t="s">
        <v>17</v>
      </c>
      <c r="L405" s="35">
        <f t="shared" si="55"/>
        <v>0</v>
      </c>
      <c r="M405" s="10" t="s">
        <v>60</v>
      </c>
      <c r="N405" s="9" t="s">
        <v>431</v>
      </c>
      <c r="O405" s="10"/>
      <c r="P405" s="9"/>
    </row>
    <row r="406" spans="1:16" hidden="1" x14ac:dyDescent="0.2">
      <c r="A406" s="12">
        <v>22</v>
      </c>
      <c r="B406" s="12" t="s">
        <v>23</v>
      </c>
      <c r="C406" s="9"/>
      <c r="D406" s="9"/>
      <c r="E406" s="9"/>
      <c r="F406" s="9"/>
      <c r="G406" s="9"/>
      <c r="H406" s="9">
        <v>15.49</v>
      </c>
      <c r="I406" s="9"/>
      <c r="J406" s="9"/>
      <c r="K406" s="12" t="s">
        <v>17</v>
      </c>
      <c r="L406" s="35">
        <f t="shared" si="55"/>
        <v>0</v>
      </c>
      <c r="M406" s="10" t="s">
        <v>60</v>
      </c>
      <c r="N406" s="9" t="s">
        <v>432</v>
      </c>
      <c r="O406" s="10"/>
      <c r="P406" s="9"/>
    </row>
    <row r="407" spans="1:16" hidden="1" x14ac:dyDescent="0.2">
      <c r="A407" s="12">
        <v>22</v>
      </c>
      <c r="B407" s="12" t="s">
        <v>23</v>
      </c>
      <c r="C407" s="9"/>
      <c r="D407" s="9"/>
      <c r="E407" s="9"/>
      <c r="F407" s="9"/>
      <c r="G407" s="9"/>
      <c r="H407" s="9">
        <v>15.49</v>
      </c>
      <c r="I407" s="9"/>
      <c r="J407" s="9"/>
      <c r="K407" s="12" t="s">
        <v>17</v>
      </c>
      <c r="L407" s="35">
        <f t="shared" si="55"/>
        <v>0</v>
      </c>
      <c r="M407" s="10" t="s">
        <v>60</v>
      </c>
      <c r="N407" s="9" t="s">
        <v>433</v>
      </c>
      <c r="O407" s="10"/>
      <c r="P407" s="9"/>
    </row>
    <row r="408" spans="1:16" hidden="1" x14ac:dyDescent="0.2">
      <c r="A408" s="12">
        <v>22</v>
      </c>
      <c r="B408" s="12" t="s">
        <v>23</v>
      </c>
      <c r="C408" s="9"/>
      <c r="D408" s="9"/>
      <c r="E408" s="9"/>
      <c r="F408" s="9"/>
      <c r="G408" s="9"/>
      <c r="H408" s="9">
        <v>15.49</v>
      </c>
      <c r="I408" s="9"/>
      <c r="J408" s="9"/>
      <c r="K408" s="12" t="s">
        <v>17</v>
      </c>
      <c r="L408" s="35">
        <f t="shared" si="55"/>
        <v>0</v>
      </c>
      <c r="M408" s="10" t="s">
        <v>60</v>
      </c>
      <c r="N408" s="9" t="s">
        <v>434</v>
      </c>
      <c r="O408" s="10"/>
      <c r="P408" s="9"/>
    </row>
    <row r="409" spans="1:16" hidden="1" x14ac:dyDescent="0.2">
      <c r="A409" s="12">
        <v>22</v>
      </c>
      <c r="B409" s="12" t="s">
        <v>23</v>
      </c>
      <c r="C409" s="9"/>
      <c r="D409" s="9"/>
      <c r="E409" s="9"/>
      <c r="F409" s="9"/>
      <c r="G409" s="9"/>
      <c r="H409" s="9">
        <v>19.989999999999998</v>
      </c>
      <c r="I409" s="9"/>
      <c r="J409" s="9"/>
      <c r="K409" s="12" t="s">
        <v>17</v>
      </c>
      <c r="L409" s="35">
        <f t="shared" si="55"/>
        <v>0</v>
      </c>
      <c r="M409" s="10" t="s">
        <v>60</v>
      </c>
      <c r="N409" s="9" t="s">
        <v>435</v>
      </c>
      <c r="O409" s="10"/>
      <c r="P409" s="9"/>
    </row>
    <row r="410" spans="1:16" hidden="1" x14ac:dyDescent="0.2">
      <c r="A410" s="12">
        <v>22</v>
      </c>
      <c r="B410" s="12" t="s">
        <v>23</v>
      </c>
      <c r="C410" s="9"/>
      <c r="D410" s="9"/>
      <c r="E410" s="9"/>
      <c r="F410" s="9"/>
      <c r="G410" s="9"/>
      <c r="H410" s="9">
        <v>9.5</v>
      </c>
      <c r="I410" s="9"/>
      <c r="J410" s="9"/>
      <c r="K410" s="12" t="s">
        <v>17</v>
      </c>
      <c r="L410" s="35">
        <f t="shared" si="55"/>
        <v>0</v>
      </c>
      <c r="M410" s="10" t="s">
        <v>60</v>
      </c>
      <c r="N410" s="9" t="s">
        <v>435</v>
      </c>
      <c r="O410" s="10"/>
      <c r="P410" s="9"/>
    </row>
    <row r="411" spans="1:16" hidden="1" x14ac:dyDescent="0.2">
      <c r="A411" s="12">
        <v>22</v>
      </c>
      <c r="B411" s="12" t="s">
        <v>20</v>
      </c>
      <c r="C411" s="9">
        <v>300</v>
      </c>
      <c r="D411" s="9"/>
      <c r="E411" s="9"/>
      <c r="F411" s="9"/>
      <c r="G411" s="9"/>
      <c r="H411" s="9"/>
      <c r="I411" s="9"/>
      <c r="J411" s="9">
        <v>45</v>
      </c>
      <c r="K411" s="12" t="s">
        <v>17</v>
      </c>
      <c r="L411" s="35">
        <f t="shared" si="55"/>
        <v>0</v>
      </c>
      <c r="M411" s="10" t="s">
        <v>60</v>
      </c>
      <c r="N411" s="9" t="s">
        <v>436</v>
      </c>
      <c r="O411" s="10"/>
      <c r="P411" s="9"/>
    </row>
    <row r="412" spans="1:16" hidden="1" x14ac:dyDescent="0.2">
      <c r="A412" s="12">
        <v>22</v>
      </c>
      <c r="B412" s="12" t="s">
        <v>20</v>
      </c>
      <c r="C412" s="9">
        <v>250</v>
      </c>
      <c r="D412" s="9"/>
      <c r="E412" s="9"/>
      <c r="F412" s="9"/>
      <c r="G412" s="9"/>
      <c r="H412" s="9"/>
      <c r="I412" s="9"/>
      <c r="J412" s="9">
        <v>37.5</v>
      </c>
      <c r="K412" s="12" t="s">
        <v>17</v>
      </c>
      <c r="L412" s="35">
        <f t="shared" si="55"/>
        <v>0</v>
      </c>
      <c r="M412" s="10" t="s">
        <v>60</v>
      </c>
      <c r="N412" s="9" t="s">
        <v>437</v>
      </c>
      <c r="O412" s="10"/>
      <c r="P412" s="9"/>
    </row>
    <row r="413" spans="1:16" hidden="1" x14ac:dyDescent="0.2">
      <c r="A413" s="12">
        <v>22</v>
      </c>
      <c r="B413" s="12" t="s">
        <v>20</v>
      </c>
      <c r="C413" s="9"/>
      <c r="D413" s="9">
        <v>13</v>
      </c>
      <c r="E413" s="9"/>
      <c r="F413" s="9">
        <v>44</v>
      </c>
      <c r="G413" s="9">
        <v>4.5</v>
      </c>
      <c r="H413" s="9"/>
      <c r="I413" s="9"/>
      <c r="J413" s="9">
        <v>9.23</v>
      </c>
      <c r="K413" s="12" t="s">
        <v>17</v>
      </c>
      <c r="L413" s="35">
        <f t="shared" si="55"/>
        <v>0</v>
      </c>
      <c r="M413" s="10" t="s">
        <v>60</v>
      </c>
      <c r="N413" s="9" t="s">
        <v>438</v>
      </c>
      <c r="O413" s="10"/>
      <c r="P413" s="9"/>
    </row>
    <row r="414" spans="1:16" hidden="1" x14ac:dyDescent="0.2">
      <c r="A414" s="12">
        <v>22</v>
      </c>
      <c r="B414" s="12" t="s">
        <v>20</v>
      </c>
      <c r="C414" s="9">
        <f>85.5-8.5</f>
        <v>77</v>
      </c>
      <c r="D414" s="9"/>
      <c r="E414" s="9"/>
      <c r="F414" s="9"/>
      <c r="G414" s="9">
        <v>8.5</v>
      </c>
      <c r="H414" s="9"/>
      <c r="I414" s="9"/>
      <c r="J414" s="9">
        <v>12.83</v>
      </c>
      <c r="K414" s="12" t="s">
        <v>17</v>
      </c>
      <c r="L414" s="35">
        <f t="shared" si="55"/>
        <v>0</v>
      </c>
      <c r="M414" s="10" t="s">
        <v>60</v>
      </c>
      <c r="N414" s="9" t="s">
        <v>438</v>
      </c>
      <c r="O414" s="10"/>
      <c r="P414" s="9"/>
    </row>
    <row r="415" spans="1:16" hidden="1" x14ac:dyDescent="0.2">
      <c r="A415" s="12">
        <v>22</v>
      </c>
      <c r="B415" s="12" t="s">
        <v>20</v>
      </c>
      <c r="C415" s="9">
        <f>628-SUM(D415:I415)</f>
        <v>186</v>
      </c>
      <c r="D415" s="9">
        <v>26</v>
      </c>
      <c r="E415" s="9">
        <v>22</v>
      </c>
      <c r="F415" s="9">
        <f>44+350</f>
        <v>394</v>
      </c>
      <c r="G415" s="9"/>
      <c r="H415" s="9"/>
      <c r="I415" s="9"/>
      <c r="J415" s="9">
        <v>94.2</v>
      </c>
      <c r="K415" s="12" t="s">
        <v>17</v>
      </c>
      <c r="L415" s="35">
        <f t="shared" si="55"/>
        <v>0</v>
      </c>
      <c r="M415" s="10" t="s">
        <v>60</v>
      </c>
      <c r="N415" s="9" t="s">
        <v>439</v>
      </c>
      <c r="O415" s="10"/>
      <c r="P415" s="9"/>
    </row>
    <row r="416" spans="1:16" hidden="1" x14ac:dyDescent="0.2">
      <c r="A416" s="12">
        <v>22</v>
      </c>
      <c r="B416" s="12" t="s">
        <v>23</v>
      </c>
      <c r="C416" s="9">
        <v>12</v>
      </c>
      <c r="D416" s="9"/>
      <c r="E416" s="9"/>
      <c r="F416" s="9"/>
      <c r="G416" s="9"/>
      <c r="H416" s="9"/>
      <c r="I416" s="9"/>
      <c r="J416" s="9">
        <v>1.4</v>
      </c>
      <c r="K416" s="12" t="s">
        <v>16</v>
      </c>
      <c r="L416" s="35">
        <f t="shared" si="55"/>
        <v>0</v>
      </c>
      <c r="M416" s="10" t="s">
        <v>58</v>
      </c>
      <c r="N416" s="9" t="s">
        <v>440</v>
      </c>
      <c r="O416" s="10"/>
      <c r="P416" s="9"/>
    </row>
    <row r="417" spans="1:16" hidden="1" x14ac:dyDescent="0.2">
      <c r="A417" s="12">
        <v>22</v>
      </c>
      <c r="B417" s="12" t="s">
        <v>23</v>
      </c>
      <c r="C417" s="9">
        <v>20.95</v>
      </c>
      <c r="D417" s="9"/>
      <c r="E417" s="9"/>
      <c r="F417" s="9"/>
      <c r="G417" s="9"/>
      <c r="H417" s="9"/>
      <c r="I417" s="9"/>
      <c r="J417" s="9">
        <v>2.5</v>
      </c>
      <c r="K417" s="12" t="s">
        <v>16</v>
      </c>
      <c r="L417" s="35">
        <f t="shared" ref="L417:L422" si="56">SUBTOTAL(9,C417:J417)</f>
        <v>0</v>
      </c>
      <c r="M417" s="10" t="s">
        <v>58</v>
      </c>
      <c r="N417" s="9" t="s">
        <v>110</v>
      </c>
      <c r="O417" s="10"/>
      <c r="P417" s="9"/>
    </row>
    <row r="418" spans="1:16" hidden="1" x14ac:dyDescent="0.2">
      <c r="A418" s="12">
        <v>22</v>
      </c>
      <c r="B418" s="12" t="s">
        <v>23</v>
      </c>
      <c r="C418" s="9">
        <v>7</v>
      </c>
      <c r="D418" s="9"/>
      <c r="E418" s="9"/>
      <c r="F418" s="9"/>
      <c r="G418" s="9"/>
      <c r="H418" s="9"/>
      <c r="I418" s="9"/>
      <c r="J418" s="9"/>
      <c r="K418" s="12" t="s">
        <v>16</v>
      </c>
      <c r="L418" s="35">
        <f t="shared" si="56"/>
        <v>0</v>
      </c>
      <c r="M418" s="10" t="s">
        <v>58</v>
      </c>
      <c r="N418" s="9" t="s">
        <v>441</v>
      </c>
      <c r="O418" s="10"/>
      <c r="P418" s="9"/>
    </row>
    <row r="419" spans="1:16" hidden="1" x14ac:dyDescent="0.2">
      <c r="A419" s="12">
        <v>22</v>
      </c>
      <c r="B419" s="12" t="s">
        <v>23</v>
      </c>
      <c r="C419" s="9">
        <v>12.95</v>
      </c>
      <c r="D419" s="9"/>
      <c r="E419" s="9"/>
      <c r="F419" s="9"/>
      <c r="G419" s="9"/>
      <c r="H419" s="9"/>
      <c r="I419" s="9"/>
      <c r="J419" s="9">
        <v>1.94</v>
      </c>
      <c r="K419" s="12" t="s">
        <v>16</v>
      </c>
      <c r="L419" s="35">
        <f t="shared" si="56"/>
        <v>0</v>
      </c>
      <c r="M419" s="10" t="s">
        <v>58</v>
      </c>
      <c r="N419" s="9" t="s">
        <v>414</v>
      </c>
      <c r="O419" s="10"/>
      <c r="P419" s="9"/>
    </row>
    <row r="420" spans="1:16" hidden="1" x14ac:dyDescent="0.2">
      <c r="A420" s="12">
        <v>22</v>
      </c>
      <c r="B420" s="12" t="s">
        <v>20</v>
      </c>
      <c r="C420" s="9">
        <v>4.75</v>
      </c>
      <c r="D420" s="9"/>
      <c r="E420" s="9"/>
      <c r="F420" s="9"/>
      <c r="G420" s="9">
        <v>4.5</v>
      </c>
      <c r="H420" s="9"/>
      <c r="I420" s="9"/>
      <c r="J420" s="9">
        <v>1.39</v>
      </c>
      <c r="K420" s="12" t="s">
        <v>16</v>
      </c>
      <c r="L420" s="35">
        <f t="shared" ref="L420" si="57">SUBTOTAL(9,C420:J420)</f>
        <v>0</v>
      </c>
      <c r="M420" s="10" t="s">
        <v>58</v>
      </c>
      <c r="N420" s="9" t="s">
        <v>442</v>
      </c>
      <c r="O420" s="10"/>
      <c r="P420" s="9"/>
    </row>
    <row r="421" spans="1:16" hidden="1" x14ac:dyDescent="0.2">
      <c r="A421" s="12">
        <v>23</v>
      </c>
      <c r="B421" s="12" t="s">
        <v>20</v>
      </c>
      <c r="C421" s="9">
        <v>30</v>
      </c>
      <c r="D421" s="9"/>
      <c r="E421" s="9"/>
      <c r="F421" s="9"/>
      <c r="G421" s="9"/>
      <c r="H421" s="9"/>
      <c r="I421" s="9"/>
      <c r="J421" s="9">
        <v>4.5</v>
      </c>
      <c r="K421" s="12" t="s">
        <v>17</v>
      </c>
      <c r="L421" s="35">
        <f t="shared" si="56"/>
        <v>0</v>
      </c>
      <c r="M421" s="10" t="s">
        <v>60</v>
      </c>
      <c r="N421" s="9" t="s">
        <v>443</v>
      </c>
      <c r="O421" s="10"/>
      <c r="P421" s="9"/>
    </row>
    <row r="422" spans="1:16" hidden="1" x14ac:dyDescent="0.2">
      <c r="A422" s="12">
        <v>23</v>
      </c>
      <c r="B422" s="12" t="s">
        <v>20</v>
      </c>
      <c r="C422" s="9">
        <v>402</v>
      </c>
      <c r="D422" s="9"/>
      <c r="E422" s="9"/>
      <c r="F422" s="9"/>
      <c r="G422" s="9"/>
      <c r="H422" s="9"/>
      <c r="I422" s="9"/>
      <c r="J422" s="9">
        <v>60.3</v>
      </c>
      <c r="K422" s="12" t="s">
        <v>17</v>
      </c>
      <c r="L422" s="35">
        <f t="shared" si="56"/>
        <v>0</v>
      </c>
      <c r="M422" s="10" t="s">
        <v>60</v>
      </c>
      <c r="N422" s="9" t="s">
        <v>444</v>
      </c>
      <c r="O422" s="10"/>
      <c r="P422" s="9"/>
    </row>
    <row r="423" spans="1:16" s="9" customFormat="1" hidden="1" x14ac:dyDescent="0.2">
      <c r="A423" s="12">
        <v>23</v>
      </c>
      <c r="B423" s="12" t="s">
        <v>23</v>
      </c>
      <c r="H423" s="9">
        <v>10.5</v>
      </c>
      <c r="J423" s="9">
        <v>1.81</v>
      </c>
      <c r="K423" s="12" t="s">
        <v>17</v>
      </c>
      <c r="L423" s="35">
        <f t="shared" ref="L423:L425" si="58">SUBTOTAL(9,C423:J423)</f>
        <v>0</v>
      </c>
      <c r="M423" s="10" t="s">
        <v>60</v>
      </c>
      <c r="N423" s="9" t="s">
        <v>445</v>
      </c>
      <c r="O423" s="10"/>
    </row>
    <row r="424" spans="1:16" s="9" customFormat="1" hidden="1" x14ac:dyDescent="0.2">
      <c r="A424" s="12">
        <v>23</v>
      </c>
      <c r="B424" s="12" t="s">
        <v>23</v>
      </c>
      <c r="H424" s="9">
        <v>7.25</v>
      </c>
      <c r="K424" s="12" t="s">
        <v>17</v>
      </c>
      <c r="L424" s="35">
        <f t="shared" si="58"/>
        <v>0</v>
      </c>
      <c r="M424" s="10" t="s">
        <v>60</v>
      </c>
      <c r="N424" s="9" t="s">
        <v>460</v>
      </c>
      <c r="O424" s="10"/>
    </row>
    <row r="425" spans="1:16" s="9" customFormat="1" hidden="1" x14ac:dyDescent="0.2">
      <c r="A425" s="12">
        <v>23</v>
      </c>
      <c r="B425" s="12" t="s">
        <v>23</v>
      </c>
      <c r="H425" s="9">
        <v>7.25</v>
      </c>
      <c r="K425" s="12" t="s">
        <v>17</v>
      </c>
      <c r="L425" s="35">
        <f t="shared" si="58"/>
        <v>0</v>
      </c>
      <c r="M425" s="10" t="s">
        <v>60</v>
      </c>
      <c r="N425" s="9" t="s">
        <v>446</v>
      </c>
      <c r="O425" s="10"/>
    </row>
    <row r="426" spans="1:16" s="9" customFormat="1" hidden="1" x14ac:dyDescent="0.2">
      <c r="A426" s="12">
        <v>23</v>
      </c>
      <c r="B426" s="12" t="s">
        <v>23</v>
      </c>
      <c r="H426" s="9">
        <v>7.25</v>
      </c>
      <c r="K426" s="12" t="s">
        <v>17</v>
      </c>
      <c r="L426" s="35">
        <f>SUBTOTAL(9,C426:J426)</f>
        <v>0</v>
      </c>
      <c r="M426" s="10" t="s">
        <v>60</v>
      </c>
      <c r="N426" s="9" t="s">
        <v>447</v>
      </c>
      <c r="O426" s="10"/>
    </row>
    <row r="427" spans="1:16" s="9" customFormat="1" hidden="1" x14ac:dyDescent="0.2">
      <c r="A427" s="12">
        <v>23</v>
      </c>
      <c r="B427" s="12" t="s">
        <v>23</v>
      </c>
      <c r="H427" s="9">
        <v>7.25</v>
      </c>
      <c r="K427" s="12" t="s">
        <v>17</v>
      </c>
      <c r="L427" s="35">
        <f>SUBTOTAL(9,C427:J427)</f>
        <v>0</v>
      </c>
      <c r="M427" s="10" t="s">
        <v>60</v>
      </c>
      <c r="N427" s="9" t="s">
        <v>448</v>
      </c>
      <c r="O427" s="10"/>
    </row>
    <row r="428" spans="1:16" s="9" customFormat="1" hidden="1" x14ac:dyDescent="0.2">
      <c r="A428" s="12">
        <v>23</v>
      </c>
      <c r="B428" s="12" t="s">
        <v>23</v>
      </c>
      <c r="H428" s="9">
        <v>7.25</v>
      </c>
      <c r="K428" s="12" t="s">
        <v>17</v>
      </c>
      <c r="L428" s="35">
        <f t="shared" ref="L428:L431" si="59">SUBTOTAL(9,C428:J428)</f>
        <v>0</v>
      </c>
      <c r="M428" s="10" t="s">
        <v>60</v>
      </c>
      <c r="N428" s="9" t="s">
        <v>449</v>
      </c>
      <c r="O428" s="10"/>
    </row>
    <row r="429" spans="1:16" s="9" customFormat="1" hidden="1" x14ac:dyDescent="0.2">
      <c r="A429" s="12">
        <v>23</v>
      </c>
      <c r="B429" s="12" t="s">
        <v>23</v>
      </c>
      <c r="H429" s="9">
        <v>7.25</v>
      </c>
      <c r="K429" s="12" t="s">
        <v>17</v>
      </c>
      <c r="L429" s="35">
        <f t="shared" si="59"/>
        <v>0</v>
      </c>
      <c r="M429" s="10" t="s">
        <v>60</v>
      </c>
      <c r="N429" s="9" t="s">
        <v>450</v>
      </c>
      <c r="O429" s="10"/>
    </row>
    <row r="430" spans="1:16" s="9" customFormat="1" hidden="1" x14ac:dyDescent="0.2">
      <c r="A430" s="12">
        <v>23</v>
      </c>
      <c r="B430" s="12" t="s">
        <v>23</v>
      </c>
      <c r="H430" s="9">
        <v>7.25</v>
      </c>
      <c r="K430" s="12" t="s">
        <v>17</v>
      </c>
      <c r="L430" s="35">
        <f t="shared" si="59"/>
        <v>0</v>
      </c>
      <c r="M430" s="10" t="s">
        <v>60</v>
      </c>
      <c r="N430" s="9" t="s">
        <v>451</v>
      </c>
      <c r="O430" s="10"/>
    </row>
    <row r="431" spans="1:16" s="9" customFormat="1" hidden="1" x14ac:dyDescent="0.2">
      <c r="A431" s="12">
        <v>23</v>
      </c>
      <c r="B431" s="12" t="s">
        <v>23</v>
      </c>
      <c r="H431" s="9">
        <v>7.25</v>
      </c>
      <c r="K431" s="12" t="s">
        <v>17</v>
      </c>
      <c r="L431" s="35">
        <f t="shared" si="59"/>
        <v>0</v>
      </c>
      <c r="M431" s="10" t="s">
        <v>60</v>
      </c>
      <c r="N431" s="9" t="s">
        <v>452</v>
      </c>
      <c r="O431" s="10"/>
    </row>
    <row r="432" spans="1:16" s="9" customFormat="1" hidden="1" x14ac:dyDescent="0.2">
      <c r="A432" s="12">
        <v>23</v>
      </c>
      <c r="B432" s="12" t="s">
        <v>23</v>
      </c>
      <c r="H432" s="9">
        <v>19.5</v>
      </c>
      <c r="K432" s="12" t="s">
        <v>17</v>
      </c>
      <c r="L432" s="35">
        <f t="shared" ref="L432:L433" si="60">SUBTOTAL(9,C432:J432)</f>
        <v>0</v>
      </c>
      <c r="M432" s="10" t="s">
        <v>60</v>
      </c>
      <c r="N432" s="9" t="s">
        <v>453</v>
      </c>
      <c r="O432" s="10"/>
    </row>
    <row r="433" spans="1:15" s="9" customFormat="1" hidden="1" x14ac:dyDescent="0.2">
      <c r="A433" s="12">
        <v>23</v>
      </c>
      <c r="B433" s="12" t="s">
        <v>23</v>
      </c>
      <c r="H433" s="9">
        <v>15.49</v>
      </c>
      <c r="K433" s="12" t="s">
        <v>17</v>
      </c>
      <c r="L433" s="35">
        <f t="shared" si="60"/>
        <v>0</v>
      </c>
      <c r="M433" s="10" t="s">
        <v>60</v>
      </c>
      <c r="N433" s="9" t="s">
        <v>454</v>
      </c>
      <c r="O433" s="10"/>
    </row>
    <row r="434" spans="1:15" s="9" customFormat="1" hidden="1" x14ac:dyDescent="0.2">
      <c r="A434" s="12">
        <v>23</v>
      </c>
      <c r="B434" s="12" t="s">
        <v>23</v>
      </c>
      <c r="H434" s="9">
        <v>11.74</v>
      </c>
      <c r="K434" s="12" t="s">
        <v>17</v>
      </c>
      <c r="L434" s="35">
        <f t="shared" ref="L434:L442" si="61">SUBTOTAL(9,C434:J434)</f>
        <v>0</v>
      </c>
      <c r="M434" s="10" t="s">
        <v>60</v>
      </c>
      <c r="N434" s="9" t="s">
        <v>455</v>
      </c>
      <c r="O434" s="10"/>
    </row>
    <row r="435" spans="1:15" s="9" customFormat="1" hidden="1" x14ac:dyDescent="0.2">
      <c r="A435" s="12">
        <v>23</v>
      </c>
      <c r="B435" s="12" t="s">
        <v>23</v>
      </c>
      <c r="H435" s="9">
        <v>5.75</v>
      </c>
      <c r="K435" s="12" t="s">
        <v>17</v>
      </c>
      <c r="L435" s="35">
        <f t="shared" si="61"/>
        <v>0</v>
      </c>
      <c r="M435" s="10" t="s">
        <v>60</v>
      </c>
      <c r="N435" s="9" t="s">
        <v>455</v>
      </c>
      <c r="O435" s="10"/>
    </row>
    <row r="436" spans="1:15" s="9" customFormat="1" hidden="1" x14ac:dyDescent="0.2">
      <c r="A436" s="12">
        <v>23</v>
      </c>
      <c r="B436" s="12" t="s">
        <v>23</v>
      </c>
      <c r="H436" s="9">
        <v>15.49</v>
      </c>
      <c r="K436" s="12" t="s">
        <v>17</v>
      </c>
      <c r="L436" s="35">
        <f t="shared" si="61"/>
        <v>0</v>
      </c>
      <c r="M436" s="10" t="s">
        <v>60</v>
      </c>
      <c r="N436" s="9" t="s">
        <v>456</v>
      </c>
      <c r="O436" s="10"/>
    </row>
    <row r="437" spans="1:15" s="9" customFormat="1" hidden="1" x14ac:dyDescent="0.2">
      <c r="A437" s="12">
        <v>23</v>
      </c>
      <c r="B437" s="12" t="s">
        <v>23</v>
      </c>
      <c r="H437" s="9">
        <v>15.49</v>
      </c>
      <c r="K437" s="12" t="s">
        <v>17</v>
      </c>
      <c r="L437" s="35">
        <f t="shared" si="61"/>
        <v>0</v>
      </c>
      <c r="M437" s="10" t="s">
        <v>60</v>
      </c>
      <c r="N437" s="9" t="s">
        <v>457</v>
      </c>
      <c r="O437" s="10"/>
    </row>
    <row r="438" spans="1:15" s="9" customFormat="1" hidden="1" x14ac:dyDescent="0.2">
      <c r="A438" s="12">
        <v>23</v>
      </c>
      <c r="B438" s="12" t="s">
        <v>23</v>
      </c>
      <c r="H438" s="9">
        <v>15.95</v>
      </c>
      <c r="K438" s="12" t="s">
        <v>17</v>
      </c>
      <c r="L438" s="35">
        <f t="shared" si="61"/>
        <v>0</v>
      </c>
      <c r="M438" s="10" t="s">
        <v>60</v>
      </c>
      <c r="N438" s="9" t="s">
        <v>458</v>
      </c>
      <c r="O438" s="10"/>
    </row>
    <row r="439" spans="1:15" s="9" customFormat="1" hidden="1" x14ac:dyDescent="0.2">
      <c r="A439" s="12">
        <v>23</v>
      </c>
      <c r="B439" s="12" t="s">
        <v>20</v>
      </c>
      <c r="C439" s="9">
        <v>15</v>
      </c>
      <c r="J439" s="9">
        <v>2.25</v>
      </c>
      <c r="K439" s="12" t="s">
        <v>16</v>
      </c>
      <c r="L439" s="35">
        <f t="shared" si="61"/>
        <v>0</v>
      </c>
      <c r="M439" s="10" t="s">
        <v>58</v>
      </c>
      <c r="N439" s="9" t="s">
        <v>199</v>
      </c>
      <c r="O439" s="10"/>
    </row>
    <row r="440" spans="1:15" s="9" customFormat="1" hidden="1" x14ac:dyDescent="0.2">
      <c r="A440" s="12">
        <v>23</v>
      </c>
      <c r="B440" s="12" t="s">
        <v>20</v>
      </c>
      <c r="C440" s="9">
        <v>40</v>
      </c>
      <c r="J440" s="9">
        <v>4.8</v>
      </c>
      <c r="K440" s="12" t="s">
        <v>16</v>
      </c>
      <c r="L440" s="35">
        <f t="shared" si="61"/>
        <v>0</v>
      </c>
      <c r="M440" s="10" t="s">
        <v>58</v>
      </c>
      <c r="N440" s="9" t="s">
        <v>387</v>
      </c>
      <c r="O440" s="10"/>
    </row>
    <row r="441" spans="1:15" s="9" customFormat="1" hidden="1" x14ac:dyDescent="0.2">
      <c r="A441" s="12">
        <v>23</v>
      </c>
      <c r="B441" s="12" t="s">
        <v>20</v>
      </c>
      <c r="C441" s="9">
        <f>30+44</f>
        <v>74</v>
      </c>
      <c r="G441" s="9">
        <f>4.25+7+3+4.75</f>
        <v>19</v>
      </c>
      <c r="J441" s="9">
        <v>11.16</v>
      </c>
      <c r="K441" s="12" t="s">
        <v>16</v>
      </c>
      <c r="L441" s="35">
        <f t="shared" si="61"/>
        <v>0</v>
      </c>
      <c r="M441" s="10" t="s">
        <v>58</v>
      </c>
      <c r="N441" s="9" t="s">
        <v>459</v>
      </c>
      <c r="O441" s="10"/>
    </row>
    <row r="442" spans="1:15" s="9" customFormat="1" x14ac:dyDescent="0.2">
      <c r="A442" s="12">
        <v>24</v>
      </c>
      <c r="B442" s="12" t="s">
        <v>23</v>
      </c>
      <c r="H442" s="9">
        <v>4.75</v>
      </c>
      <c r="J442" s="9">
        <v>0.71</v>
      </c>
      <c r="K442" s="12" t="s">
        <v>16</v>
      </c>
      <c r="L442" s="35">
        <f t="shared" si="61"/>
        <v>5.46</v>
      </c>
      <c r="M442" s="10" t="s">
        <v>58</v>
      </c>
      <c r="N442" s="9" t="s">
        <v>413</v>
      </c>
      <c r="O442" s="10"/>
    </row>
    <row r="443" spans="1:15" s="9" customFormat="1" x14ac:dyDescent="0.2">
      <c r="A443" s="12">
        <v>24</v>
      </c>
      <c r="B443" s="12" t="s">
        <v>23</v>
      </c>
      <c r="H443" s="9">
        <v>7.5</v>
      </c>
      <c r="J443" s="9">
        <v>0.76</v>
      </c>
      <c r="K443" s="12" t="s">
        <v>16</v>
      </c>
      <c r="L443" s="35">
        <f t="shared" ref="L443:L447" si="62">SUBTOTAL(9,C443:J443)</f>
        <v>8.26</v>
      </c>
      <c r="M443" s="10" t="s">
        <v>58</v>
      </c>
      <c r="N443" s="9" t="s">
        <v>413</v>
      </c>
      <c r="O443" s="10"/>
    </row>
    <row r="444" spans="1:15" s="9" customFormat="1" x14ac:dyDescent="0.2">
      <c r="A444" s="12">
        <v>24</v>
      </c>
      <c r="B444" s="12" t="s">
        <v>23</v>
      </c>
      <c r="H444" s="9">
        <v>29</v>
      </c>
      <c r="J444" s="9">
        <v>3.5</v>
      </c>
      <c r="K444" s="12" t="s">
        <v>16</v>
      </c>
      <c r="L444" s="35">
        <f t="shared" si="62"/>
        <v>32.5</v>
      </c>
      <c r="M444" s="10" t="s">
        <v>58</v>
      </c>
      <c r="N444" s="9" t="s">
        <v>344</v>
      </c>
      <c r="O444" s="10"/>
    </row>
    <row r="445" spans="1:15" s="9" customFormat="1" x14ac:dyDescent="0.2">
      <c r="A445" s="12">
        <v>24</v>
      </c>
      <c r="B445" s="12" t="s">
        <v>23</v>
      </c>
      <c r="H445" s="9">
        <v>12.95</v>
      </c>
      <c r="K445" s="12" t="s">
        <v>16</v>
      </c>
      <c r="L445" s="35">
        <f t="shared" si="62"/>
        <v>12.95</v>
      </c>
      <c r="M445" s="10" t="s">
        <v>58</v>
      </c>
      <c r="N445" s="9" t="s">
        <v>461</v>
      </c>
      <c r="O445" s="10"/>
    </row>
    <row r="446" spans="1:15" s="9" customFormat="1" ht="12" customHeight="1" x14ac:dyDescent="0.2">
      <c r="A446" s="12">
        <v>24</v>
      </c>
      <c r="B446" s="12" t="s">
        <v>20</v>
      </c>
      <c r="C446" s="9">
        <f>25+15+25.5</f>
        <v>65.5</v>
      </c>
      <c r="J446" s="9">
        <v>9.83</v>
      </c>
      <c r="K446" s="12" t="s">
        <v>17</v>
      </c>
      <c r="L446" s="35">
        <f t="shared" si="62"/>
        <v>75.33</v>
      </c>
      <c r="M446" s="10" t="s">
        <v>60</v>
      </c>
      <c r="N446" s="9" t="s">
        <v>462</v>
      </c>
      <c r="O446" s="10"/>
    </row>
    <row r="447" spans="1:15" s="9" customFormat="1" x14ac:dyDescent="0.2">
      <c r="A447" s="12">
        <v>24</v>
      </c>
      <c r="B447" s="12" t="s">
        <v>20</v>
      </c>
      <c r="C447" s="9">
        <f>20+25+15+16+18+13</f>
        <v>107</v>
      </c>
      <c r="D447" s="9">
        <f>28+18</f>
        <v>46</v>
      </c>
      <c r="J447" s="9">
        <v>22.95</v>
      </c>
      <c r="K447" s="12" t="s">
        <v>17</v>
      </c>
      <c r="L447" s="35">
        <f t="shared" si="62"/>
        <v>175.95</v>
      </c>
      <c r="M447" s="10" t="s">
        <v>60</v>
      </c>
      <c r="N447" s="9" t="s">
        <v>255</v>
      </c>
      <c r="O447" s="10"/>
    </row>
    <row r="448" spans="1:15" s="9" customFormat="1" x14ac:dyDescent="0.2">
      <c r="A448" s="12">
        <v>24</v>
      </c>
      <c r="B448" s="12" t="s">
        <v>23</v>
      </c>
      <c r="H448" s="9">
        <v>10.75</v>
      </c>
      <c r="J448" s="9">
        <v>1.61</v>
      </c>
      <c r="K448" s="12" t="s">
        <v>17</v>
      </c>
      <c r="L448" s="35">
        <f t="shared" ref="L448:L470" si="63">SUBTOTAL(9,C448:J448)</f>
        <v>12.36</v>
      </c>
      <c r="M448" s="10" t="s">
        <v>60</v>
      </c>
      <c r="N448" s="9" t="s">
        <v>463</v>
      </c>
      <c r="O448" s="10"/>
    </row>
    <row r="449" spans="1:15" s="9" customFormat="1" x14ac:dyDescent="0.2">
      <c r="A449" s="12">
        <v>24</v>
      </c>
      <c r="B449" s="12" t="s">
        <v>23</v>
      </c>
      <c r="H449" s="9">
        <v>7.25</v>
      </c>
      <c r="K449" s="12" t="s">
        <v>17</v>
      </c>
      <c r="L449" s="35">
        <f t="shared" si="63"/>
        <v>7.25</v>
      </c>
      <c r="M449" s="10" t="s">
        <v>60</v>
      </c>
      <c r="N449" s="9" t="s">
        <v>464</v>
      </c>
      <c r="O449" s="10"/>
    </row>
    <row r="450" spans="1:15" s="9" customFormat="1" x14ac:dyDescent="0.2">
      <c r="A450" s="12">
        <v>24</v>
      </c>
      <c r="B450" s="12" t="s">
        <v>23</v>
      </c>
      <c r="H450" s="9">
        <v>7.25</v>
      </c>
      <c r="K450" s="12" t="s">
        <v>17</v>
      </c>
      <c r="L450" s="35">
        <f t="shared" si="63"/>
        <v>7.25</v>
      </c>
      <c r="M450" s="10" t="s">
        <v>60</v>
      </c>
      <c r="N450" s="9" t="s">
        <v>465</v>
      </c>
      <c r="O450" s="10"/>
    </row>
    <row r="451" spans="1:15" s="9" customFormat="1" x14ac:dyDescent="0.2">
      <c r="A451" s="12">
        <v>24</v>
      </c>
      <c r="B451" s="12" t="s">
        <v>23</v>
      </c>
      <c r="H451" s="9">
        <v>19.989999999999998</v>
      </c>
      <c r="K451" s="12" t="s">
        <v>17</v>
      </c>
      <c r="L451" s="35">
        <f t="shared" si="63"/>
        <v>19.989999999999998</v>
      </c>
      <c r="M451" s="10" t="s">
        <v>60</v>
      </c>
      <c r="N451" s="9" t="s">
        <v>466</v>
      </c>
      <c r="O451" s="10"/>
    </row>
    <row r="452" spans="1:15" s="9" customFormat="1" x14ac:dyDescent="0.2">
      <c r="A452" s="12">
        <v>24</v>
      </c>
      <c r="B452" s="12" t="s">
        <v>23</v>
      </c>
      <c r="H452" s="9">
        <v>23</v>
      </c>
      <c r="K452" s="12" t="s">
        <v>17</v>
      </c>
      <c r="L452" s="35">
        <f t="shared" si="63"/>
        <v>23</v>
      </c>
      <c r="M452" s="10" t="s">
        <v>60</v>
      </c>
      <c r="N452" s="9" t="s">
        <v>467</v>
      </c>
      <c r="O452" s="10"/>
    </row>
    <row r="453" spans="1:15" s="9" customFormat="1" x14ac:dyDescent="0.2">
      <c r="A453" s="12">
        <v>24</v>
      </c>
      <c r="B453" s="12" t="s">
        <v>23</v>
      </c>
      <c r="H453" s="9">
        <v>7.25</v>
      </c>
      <c r="K453" s="12" t="s">
        <v>17</v>
      </c>
      <c r="L453" s="35">
        <f t="shared" si="63"/>
        <v>7.25</v>
      </c>
      <c r="M453" s="10" t="s">
        <v>60</v>
      </c>
      <c r="N453" s="9" t="s">
        <v>468</v>
      </c>
      <c r="O453" s="10"/>
    </row>
    <row r="454" spans="1:15" s="9" customFormat="1" x14ac:dyDescent="0.2">
      <c r="A454" s="12">
        <v>24</v>
      </c>
      <c r="B454" s="12" t="s">
        <v>23</v>
      </c>
      <c r="H454" s="9">
        <v>7.25</v>
      </c>
      <c r="K454" s="12" t="s">
        <v>17</v>
      </c>
      <c r="L454" s="35">
        <f t="shared" si="63"/>
        <v>7.25</v>
      </c>
      <c r="M454" s="10" t="s">
        <v>60</v>
      </c>
      <c r="N454" s="9" t="s">
        <v>469</v>
      </c>
      <c r="O454" s="10"/>
    </row>
    <row r="455" spans="1:15" s="9" customFormat="1" x14ac:dyDescent="0.2">
      <c r="A455" s="12">
        <v>24</v>
      </c>
      <c r="B455" s="12" t="s">
        <v>23</v>
      </c>
      <c r="H455" s="9">
        <v>7.25</v>
      </c>
      <c r="K455" s="12" t="s">
        <v>17</v>
      </c>
      <c r="L455" s="35">
        <f t="shared" si="63"/>
        <v>7.25</v>
      </c>
      <c r="M455" s="10" t="s">
        <v>60</v>
      </c>
      <c r="N455" s="9" t="s">
        <v>470</v>
      </c>
      <c r="O455" s="10"/>
    </row>
    <row r="456" spans="1:15" s="9" customFormat="1" x14ac:dyDescent="0.2">
      <c r="A456" s="12">
        <v>24</v>
      </c>
      <c r="B456" s="12" t="s">
        <v>23</v>
      </c>
      <c r="H456" s="9">
        <v>19.989999999999998</v>
      </c>
      <c r="K456" s="12" t="s">
        <v>17</v>
      </c>
      <c r="L456" s="35">
        <f t="shared" si="63"/>
        <v>19.989999999999998</v>
      </c>
      <c r="M456" s="10" t="s">
        <v>60</v>
      </c>
      <c r="N456" s="9" t="s">
        <v>471</v>
      </c>
      <c r="O456" s="10"/>
    </row>
    <row r="457" spans="1:15" s="9" customFormat="1" x14ac:dyDescent="0.2">
      <c r="A457" s="12">
        <v>24</v>
      </c>
      <c r="B457" s="12" t="s">
        <v>23</v>
      </c>
      <c r="H457" s="9">
        <v>6.95</v>
      </c>
      <c r="K457" s="12" t="s">
        <v>17</v>
      </c>
      <c r="L457" s="35">
        <f t="shared" si="63"/>
        <v>6.95</v>
      </c>
      <c r="M457" s="10" t="s">
        <v>60</v>
      </c>
      <c r="N457" s="9" t="s">
        <v>472</v>
      </c>
      <c r="O457" s="10"/>
    </row>
    <row r="458" spans="1:15" s="9" customFormat="1" x14ac:dyDescent="0.2">
      <c r="A458" s="12">
        <v>24</v>
      </c>
      <c r="B458" s="12" t="s">
        <v>23</v>
      </c>
      <c r="H458" s="9">
        <v>6.95</v>
      </c>
      <c r="K458" s="12" t="s">
        <v>17</v>
      </c>
      <c r="L458" s="35">
        <f t="shared" si="63"/>
        <v>6.95</v>
      </c>
      <c r="M458" s="10" t="s">
        <v>60</v>
      </c>
      <c r="N458" s="9" t="s">
        <v>473</v>
      </c>
      <c r="O458" s="10"/>
    </row>
    <row r="459" spans="1:15" s="9" customFormat="1" x14ac:dyDescent="0.2">
      <c r="A459" s="12">
        <v>24</v>
      </c>
      <c r="B459" s="12" t="s">
        <v>23</v>
      </c>
      <c r="H459" s="9">
        <v>6.95</v>
      </c>
      <c r="K459" s="12" t="s">
        <v>17</v>
      </c>
      <c r="L459" s="35">
        <f t="shared" si="63"/>
        <v>6.95</v>
      </c>
      <c r="M459" s="10" t="s">
        <v>60</v>
      </c>
      <c r="N459" s="9" t="s">
        <v>474</v>
      </c>
      <c r="O459" s="10"/>
    </row>
    <row r="460" spans="1:15" s="9" customFormat="1" x14ac:dyDescent="0.2">
      <c r="A460" s="12">
        <v>24</v>
      </c>
      <c r="B460" s="12" t="s">
        <v>23</v>
      </c>
      <c r="H460" s="9">
        <v>6.95</v>
      </c>
      <c r="K460" s="12" t="s">
        <v>17</v>
      </c>
      <c r="L460" s="35">
        <f t="shared" si="63"/>
        <v>6.95</v>
      </c>
      <c r="M460" s="10" t="s">
        <v>60</v>
      </c>
      <c r="N460" s="9" t="s">
        <v>475</v>
      </c>
      <c r="O460" s="10"/>
    </row>
    <row r="461" spans="1:15" s="9" customFormat="1" x14ac:dyDescent="0.2">
      <c r="A461" s="12">
        <v>24</v>
      </c>
      <c r="B461" s="12" t="s">
        <v>23</v>
      </c>
      <c r="H461" s="9">
        <v>6.95</v>
      </c>
      <c r="K461" s="12" t="s">
        <v>17</v>
      </c>
      <c r="L461" s="35">
        <f t="shared" si="63"/>
        <v>6.95</v>
      </c>
      <c r="M461" s="10" t="s">
        <v>60</v>
      </c>
      <c r="N461" s="9" t="s">
        <v>476</v>
      </c>
      <c r="O461" s="10"/>
    </row>
    <row r="462" spans="1:15" s="9" customFormat="1" x14ac:dyDescent="0.2">
      <c r="A462" s="12">
        <v>24</v>
      </c>
      <c r="B462" s="12" t="s">
        <v>23</v>
      </c>
      <c r="H462" s="9">
        <v>6.95</v>
      </c>
      <c r="K462" s="12" t="s">
        <v>17</v>
      </c>
      <c r="L462" s="35">
        <f t="shared" si="63"/>
        <v>6.95</v>
      </c>
      <c r="M462" s="10" t="s">
        <v>60</v>
      </c>
      <c r="N462" s="9" t="s">
        <v>477</v>
      </c>
      <c r="O462" s="10"/>
    </row>
    <row r="463" spans="1:15" s="9" customFormat="1" x14ac:dyDescent="0.2">
      <c r="A463" s="12">
        <v>24</v>
      </c>
      <c r="B463" s="12" t="s">
        <v>23</v>
      </c>
      <c r="H463" s="9">
        <v>6.95</v>
      </c>
      <c r="K463" s="12" t="s">
        <v>17</v>
      </c>
      <c r="L463" s="35">
        <f t="shared" si="63"/>
        <v>6.95</v>
      </c>
      <c r="M463" s="10" t="s">
        <v>60</v>
      </c>
      <c r="N463" s="9" t="s">
        <v>478</v>
      </c>
      <c r="O463" s="10"/>
    </row>
    <row r="464" spans="1:15" s="9" customFormat="1" x14ac:dyDescent="0.2">
      <c r="A464" s="12">
        <v>24</v>
      </c>
      <c r="B464" s="12" t="s">
        <v>23</v>
      </c>
      <c r="H464" s="9">
        <v>31.5</v>
      </c>
      <c r="J464" s="9">
        <v>4.7300000000000004</v>
      </c>
      <c r="K464" s="12" t="s">
        <v>17</v>
      </c>
      <c r="L464" s="35">
        <f t="shared" si="63"/>
        <v>36.230000000000004</v>
      </c>
      <c r="M464" s="10" t="s">
        <v>60</v>
      </c>
      <c r="N464" s="9" t="s">
        <v>479</v>
      </c>
      <c r="O464" s="10"/>
    </row>
    <row r="465" spans="1:15" s="9" customFormat="1" x14ac:dyDescent="0.2">
      <c r="A465" s="12">
        <v>24</v>
      </c>
      <c r="B465" s="12" t="s">
        <v>23</v>
      </c>
      <c r="H465" s="9">
        <v>42</v>
      </c>
      <c r="K465" s="12" t="s">
        <v>17</v>
      </c>
      <c r="L465" s="35">
        <f t="shared" si="63"/>
        <v>42</v>
      </c>
      <c r="M465" s="10" t="s">
        <v>60</v>
      </c>
      <c r="N465" s="9" t="s">
        <v>480</v>
      </c>
      <c r="O465" s="10"/>
    </row>
    <row r="466" spans="1:15" s="9" customFormat="1" x14ac:dyDescent="0.2">
      <c r="A466" s="12">
        <v>24</v>
      </c>
      <c r="B466" s="12" t="s">
        <v>23</v>
      </c>
      <c r="H466" s="9">
        <v>43</v>
      </c>
      <c r="K466" s="12" t="s">
        <v>17</v>
      </c>
      <c r="L466" s="35">
        <f t="shared" si="63"/>
        <v>43</v>
      </c>
      <c r="M466" s="10" t="s">
        <v>60</v>
      </c>
      <c r="N466" s="9" t="s">
        <v>480</v>
      </c>
      <c r="O466" s="10"/>
    </row>
    <row r="467" spans="1:15" s="9" customFormat="1" hidden="1" x14ac:dyDescent="0.2">
      <c r="A467" s="12"/>
      <c r="B467" s="12"/>
      <c r="K467" s="12"/>
      <c r="L467" s="35">
        <f t="shared" si="63"/>
        <v>0</v>
      </c>
      <c r="M467" s="10"/>
      <c r="O467" s="10"/>
    </row>
    <row r="468" spans="1:15" s="9" customFormat="1" hidden="1" x14ac:dyDescent="0.2">
      <c r="A468" s="12"/>
      <c r="B468" s="12"/>
      <c r="K468" s="12"/>
      <c r="L468" s="35">
        <f t="shared" si="63"/>
        <v>0</v>
      </c>
      <c r="M468" s="10"/>
      <c r="O468" s="10"/>
    </row>
    <row r="469" spans="1:15" s="9" customFormat="1" hidden="1" x14ac:dyDescent="0.2">
      <c r="A469" s="12"/>
      <c r="B469" s="12"/>
      <c r="K469" s="12"/>
      <c r="L469" s="35">
        <f t="shared" si="63"/>
        <v>0</v>
      </c>
      <c r="M469" s="10"/>
      <c r="O469" s="10"/>
    </row>
    <row r="470" spans="1:15" s="9" customFormat="1" hidden="1" x14ac:dyDescent="0.2">
      <c r="A470" s="12"/>
      <c r="B470" s="12"/>
      <c r="K470" s="12"/>
      <c r="L470" s="35">
        <f t="shared" si="63"/>
        <v>0</v>
      </c>
      <c r="M470" s="10"/>
      <c r="O470" s="10"/>
    </row>
    <row r="471" spans="1:15" s="9" customFormat="1" hidden="1" x14ac:dyDescent="0.2">
      <c r="A471" s="12"/>
      <c r="B471" s="12"/>
      <c r="K471" s="12"/>
      <c r="L471" s="35">
        <f t="shared" ref="L471" si="64">SUBTOTAL(9,C471:J471)</f>
        <v>0</v>
      </c>
      <c r="M471" s="10"/>
      <c r="O471" s="10"/>
    </row>
    <row r="472" spans="1:15" s="9" customFormat="1" hidden="1" x14ac:dyDescent="0.2">
      <c r="A472" s="12"/>
      <c r="B472" s="12"/>
      <c r="K472" s="12"/>
      <c r="L472" s="35">
        <f t="shared" ref="L472:L476" si="65">SUBTOTAL(9,C472:J472)</f>
        <v>0</v>
      </c>
      <c r="M472" s="10"/>
      <c r="O472" s="10"/>
    </row>
    <row r="473" spans="1:15" s="9" customFormat="1" hidden="1" x14ac:dyDescent="0.2">
      <c r="A473" s="12"/>
      <c r="B473" s="12"/>
      <c r="K473" s="12"/>
      <c r="L473" s="35">
        <f t="shared" si="65"/>
        <v>0</v>
      </c>
      <c r="M473" s="10"/>
      <c r="O473" s="10"/>
    </row>
    <row r="474" spans="1:15" s="9" customFormat="1" hidden="1" x14ac:dyDescent="0.2">
      <c r="A474" s="12"/>
      <c r="B474" s="12"/>
      <c r="K474" s="12"/>
      <c r="L474" s="35">
        <f t="shared" si="65"/>
        <v>0</v>
      </c>
      <c r="M474" s="10"/>
      <c r="O474" s="10"/>
    </row>
    <row r="475" spans="1:15" s="9" customFormat="1" hidden="1" x14ac:dyDescent="0.2">
      <c r="A475" s="12"/>
      <c r="B475" s="12"/>
      <c r="K475" s="12"/>
      <c r="L475" s="35">
        <f t="shared" si="65"/>
        <v>0</v>
      </c>
      <c r="M475" s="10"/>
      <c r="O475" s="10"/>
    </row>
    <row r="476" spans="1:15" s="9" customFormat="1" ht="13.5" hidden="1" customHeight="1" x14ac:dyDescent="0.2">
      <c r="A476" s="12"/>
      <c r="B476" s="12"/>
      <c r="K476" s="12"/>
      <c r="L476" s="35">
        <f t="shared" si="65"/>
        <v>0</v>
      </c>
      <c r="M476" s="10"/>
      <c r="O476" s="10"/>
    </row>
    <row r="477" spans="1:15" s="9" customFormat="1" ht="13.5" hidden="1" customHeight="1" x14ac:dyDescent="0.2">
      <c r="A477" s="12"/>
      <c r="B477" s="12"/>
      <c r="K477" s="12"/>
      <c r="L477" s="35">
        <f t="shared" ref="L477:L478" si="66">SUBTOTAL(9,C477:J477)</f>
        <v>0</v>
      </c>
      <c r="M477" s="10"/>
      <c r="O477" s="10"/>
    </row>
    <row r="478" spans="1:15" s="9" customFormat="1" ht="13.5" hidden="1" customHeight="1" x14ac:dyDescent="0.2">
      <c r="A478" s="12"/>
      <c r="B478" s="12"/>
      <c r="K478" s="12"/>
      <c r="L478" s="35">
        <f t="shared" si="66"/>
        <v>0</v>
      </c>
      <c r="M478" s="10"/>
      <c r="O478" s="10"/>
    </row>
    <row r="479" spans="1:15" s="9" customFormat="1" ht="13.5" hidden="1" customHeight="1" x14ac:dyDescent="0.2">
      <c r="A479" s="12"/>
      <c r="B479" s="12"/>
      <c r="K479" s="12"/>
      <c r="L479" s="35">
        <f t="shared" ref="L479" si="67">SUBTOTAL(9,C479:J479)</f>
        <v>0</v>
      </c>
      <c r="M479" s="10"/>
      <c r="O479" s="10"/>
    </row>
    <row r="480" spans="1:15" s="9" customFormat="1" ht="13.5" hidden="1" customHeight="1" x14ac:dyDescent="0.2">
      <c r="A480" s="12"/>
      <c r="B480" s="12"/>
      <c r="K480" s="12"/>
      <c r="L480" s="35">
        <f t="shared" ref="L480:L483" si="68">SUBTOTAL(9,C480:J480)</f>
        <v>0</v>
      </c>
      <c r="M480" s="10"/>
      <c r="O480" s="10"/>
    </row>
    <row r="481" spans="1:15" s="9" customFormat="1" ht="13.5" hidden="1" customHeight="1" x14ac:dyDescent="0.2">
      <c r="A481" s="12"/>
      <c r="B481" s="12"/>
      <c r="K481" s="12"/>
      <c r="L481" s="35">
        <f t="shared" si="68"/>
        <v>0</v>
      </c>
      <c r="M481" s="10"/>
      <c r="O481" s="10"/>
    </row>
    <row r="482" spans="1:15" s="9" customFormat="1" ht="13.5" hidden="1" customHeight="1" x14ac:dyDescent="0.2">
      <c r="A482" s="12"/>
      <c r="B482" s="12"/>
      <c r="K482" s="12"/>
      <c r="L482" s="35">
        <f t="shared" si="68"/>
        <v>0</v>
      </c>
      <c r="M482" s="10"/>
      <c r="O482" s="10"/>
    </row>
    <row r="483" spans="1:15" s="9" customFormat="1" ht="13.5" hidden="1" customHeight="1" x14ac:dyDescent="0.2">
      <c r="A483" s="12"/>
      <c r="B483" s="12"/>
      <c r="K483" s="12"/>
      <c r="L483" s="35">
        <f t="shared" si="68"/>
        <v>0</v>
      </c>
      <c r="M483" s="10"/>
      <c r="O483" s="10"/>
    </row>
    <row r="484" spans="1:15" s="9" customFormat="1" ht="13.5" hidden="1" customHeight="1" x14ac:dyDescent="0.2">
      <c r="A484" s="12"/>
      <c r="B484" s="12"/>
      <c r="K484" s="12"/>
      <c r="L484" s="35">
        <f t="shared" ref="L484:L504" si="69">SUBTOTAL(9,C484:J484)</f>
        <v>0</v>
      </c>
      <c r="M484" s="10"/>
      <c r="O484" s="10"/>
    </row>
    <row r="485" spans="1:15" s="9" customFormat="1" ht="13.5" hidden="1" customHeight="1" x14ac:dyDescent="0.2">
      <c r="A485" s="12"/>
      <c r="B485" s="12"/>
      <c r="K485" s="12"/>
      <c r="L485" s="35">
        <f t="shared" si="69"/>
        <v>0</v>
      </c>
      <c r="M485" s="10"/>
      <c r="O485" s="10"/>
    </row>
    <row r="486" spans="1:15" s="9" customFormat="1" ht="13.5" hidden="1" customHeight="1" x14ac:dyDescent="0.2">
      <c r="A486" s="12"/>
      <c r="B486" s="12"/>
      <c r="K486" s="12"/>
      <c r="L486" s="35">
        <f t="shared" si="69"/>
        <v>0</v>
      </c>
      <c r="M486" s="10"/>
      <c r="O486" s="10"/>
    </row>
    <row r="487" spans="1:15" s="9" customFormat="1" ht="13.5" hidden="1" customHeight="1" x14ac:dyDescent="0.2">
      <c r="A487" s="12"/>
      <c r="B487" s="12"/>
      <c r="K487" s="12"/>
      <c r="L487" s="35">
        <f t="shared" si="69"/>
        <v>0</v>
      </c>
      <c r="M487" s="10"/>
      <c r="O487" s="10"/>
    </row>
    <row r="488" spans="1:15" s="9" customFormat="1" ht="13.5" hidden="1" customHeight="1" x14ac:dyDescent="0.2">
      <c r="A488" s="12"/>
      <c r="B488" s="12"/>
      <c r="K488" s="12"/>
      <c r="L488" s="35">
        <f t="shared" si="69"/>
        <v>0</v>
      </c>
      <c r="M488" s="10"/>
      <c r="O488" s="10"/>
    </row>
    <row r="489" spans="1:15" s="9" customFormat="1" ht="13.5" hidden="1" customHeight="1" x14ac:dyDescent="0.2">
      <c r="A489" s="12"/>
      <c r="B489" s="12"/>
      <c r="K489" s="12"/>
      <c r="L489" s="35">
        <f t="shared" si="69"/>
        <v>0</v>
      </c>
      <c r="M489" s="10"/>
      <c r="O489" s="10"/>
    </row>
    <row r="490" spans="1:15" s="9" customFormat="1" ht="13.5" hidden="1" customHeight="1" x14ac:dyDescent="0.2">
      <c r="A490" s="12"/>
      <c r="B490" s="12"/>
      <c r="K490" s="12"/>
      <c r="L490" s="35">
        <f t="shared" si="69"/>
        <v>0</v>
      </c>
      <c r="M490" s="10"/>
      <c r="O490" s="10"/>
    </row>
    <row r="491" spans="1:15" s="9" customFormat="1" ht="13.5" hidden="1" customHeight="1" x14ac:dyDescent="0.2">
      <c r="A491" s="12"/>
      <c r="B491" s="12"/>
      <c r="K491" s="12"/>
      <c r="L491" s="35">
        <f t="shared" si="69"/>
        <v>0</v>
      </c>
      <c r="M491" s="10"/>
      <c r="O491" s="10"/>
    </row>
    <row r="492" spans="1:15" s="9" customFormat="1" ht="13.5" hidden="1" customHeight="1" x14ac:dyDescent="0.2">
      <c r="A492" s="12"/>
      <c r="B492" s="12"/>
      <c r="K492" s="12"/>
      <c r="L492" s="35">
        <f t="shared" si="69"/>
        <v>0</v>
      </c>
      <c r="M492" s="10"/>
      <c r="O492" s="10"/>
    </row>
    <row r="493" spans="1:15" s="9" customFormat="1" ht="13.5" hidden="1" customHeight="1" x14ac:dyDescent="0.2">
      <c r="A493" s="12"/>
      <c r="B493" s="12"/>
      <c r="K493" s="12"/>
      <c r="L493" s="35">
        <f t="shared" si="69"/>
        <v>0</v>
      </c>
      <c r="M493" s="10"/>
      <c r="O493" s="10"/>
    </row>
    <row r="494" spans="1:15" s="9" customFormat="1" ht="13.5" hidden="1" customHeight="1" x14ac:dyDescent="0.2">
      <c r="A494" s="12"/>
      <c r="B494" s="12"/>
      <c r="K494" s="12"/>
      <c r="L494" s="35">
        <f t="shared" si="69"/>
        <v>0</v>
      </c>
      <c r="M494" s="10"/>
      <c r="O494" s="10"/>
    </row>
    <row r="495" spans="1:15" s="9" customFormat="1" ht="13.5" hidden="1" customHeight="1" x14ac:dyDescent="0.2">
      <c r="A495" s="12"/>
      <c r="B495" s="12"/>
      <c r="K495" s="12"/>
      <c r="L495" s="35">
        <f t="shared" si="69"/>
        <v>0</v>
      </c>
      <c r="M495" s="10"/>
      <c r="O495" s="10"/>
    </row>
    <row r="496" spans="1:15" s="9" customFormat="1" ht="13.5" hidden="1" customHeight="1" x14ac:dyDescent="0.2">
      <c r="A496" s="12"/>
      <c r="B496" s="12"/>
      <c r="K496" s="12"/>
      <c r="L496" s="35">
        <f t="shared" si="69"/>
        <v>0</v>
      </c>
      <c r="M496" s="10"/>
      <c r="O496" s="10"/>
    </row>
    <row r="497" spans="1:15" s="9" customFormat="1" ht="13.5" hidden="1" customHeight="1" x14ac:dyDescent="0.2">
      <c r="A497" s="12"/>
      <c r="B497" s="12"/>
      <c r="K497" s="12"/>
      <c r="L497" s="35">
        <f t="shared" si="69"/>
        <v>0</v>
      </c>
      <c r="M497" s="10"/>
      <c r="O497" s="10"/>
    </row>
    <row r="498" spans="1:15" s="9" customFormat="1" ht="13.5" hidden="1" customHeight="1" x14ac:dyDescent="0.2">
      <c r="A498" s="12"/>
      <c r="B498" s="12"/>
      <c r="K498" s="12"/>
      <c r="L498" s="35">
        <f t="shared" si="69"/>
        <v>0</v>
      </c>
      <c r="M498" s="10"/>
      <c r="O498" s="10"/>
    </row>
    <row r="499" spans="1:15" s="9" customFormat="1" ht="13.5" hidden="1" customHeight="1" x14ac:dyDescent="0.2">
      <c r="A499" s="12"/>
      <c r="B499" s="12"/>
      <c r="K499" s="12"/>
      <c r="L499" s="35">
        <f t="shared" si="69"/>
        <v>0</v>
      </c>
      <c r="M499" s="10"/>
      <c r="O499" s="10"/>
    </row>
    <row r="500" spans="1:15" s="9" customFormat="1" ht="13.5" hidden="1" customHeight="1" x14ac:dyDescent="0.2">
      <c r="A500" s="12"/>
      <c r="B500" s="12"/>
      <c r="K500" s="12"/>
      <c r="L500" s="35">
        <f t="shared" si="69"/>
        <v>0</v>
      </c>
      <c r="M500" s="10"/>
      <c r="O500" s="10"/>
    </row>
    <row r="501" spans="1:15" s="9" customFormat="1" ht="13.5" hidden="1" customHeight="1" x14ac:dyDescent="0.2">
      <c r="A501" s="12"/>
      <c r="B501" s="12"/>
      <c r="K501" s="12"/>
      <c r="L501" s="35">
        <f t="shared" si="69"/>
        <v>0</v>
      </c>
      <c r="M501" s="10"/>
      <c r="O501" s="10"/>
    </row>
    <row r="502" spans="1:15" s="9" customFormat="1" ht="13.5" hidden="1" customHeight="1" x14ac:dyDescent="0.2">
      <c r="A502" s="12"/>
      <c r="B502" s="12"/>
      <c r="K502" s="12"/>
      <c r="L502" s="35">
        <f t="shared" si="69"/>
        <v>0</v>
      </c>
      <c r="M502" s="10"/>
      <c r="O502" s="10"/>
    </row>
    <row r="503" spans="1:15" s="9" customFormat="1" ht="13.5" hidden="1" customHeight="1" x14ac:dyDescent="0.2">
      <c r="A503" s="12"/>
      <c r="B503" s="12"/>
      <c r="K503" s="12"/>
      <c r="L503" s="35">
        <f t="shared" si="69"/>
        <v>0</v>
      </c>
      <c r="M503" s="10"/>
      <c r="O503" s="10"/>
    </row>
    <row r="504" spans="1:15" s="9" customFormat="1" ht="13.5" hidden="1" customHeight="1" x14ac:dyDescent="0.2">
      <c r="A504" s="12"/>
      <c r="B504" s="12"/>
      <c r="K504" s="12"/>
      <c r="L504" s="35">
        <f t="shared" si="69"/>
        <v>0</v>
      </c>
      <c r="M504" s="10"/>
      <c r="O504" s="10"/>
    </row>
    <row r="505" spans="1:15" s="9" customFormat="1" ht="13.5" hidden="1" customHeight="1" x14ac:dyDescent="0.2">
      <c r="A505" s="12"/>
      <c r="B505" s="12"/>
      <c r="K505" s="12"/>
      <c r="L505" s="35">
        <f t="shared" ref="L505" si="70">SUBTOTAL(9,C505:J505)</f>
        <v>0</v>
      </c>
      <c r="M505" s="10"/>
      <c r="O505" s="10"/>
    </row>
    <row r="506" spans="1:15" s="9" customFormat="1" ht="13.5" hidden="1" customHeight="1" x14ac:dyDescent="0.2">
      <c r="A506" s="12"/>
      <c r="B506" s="12"/>
      <c r="K506" s="12"/>
      <c r="L506" s="35">
        <f t="shared" ref="L506:L520" si="71">SUBTOTAL(9,C506:J506)</f>
        <v>0</v>
      </c>
      <c r="M506" s="10"/>
      <c r="O506" s="10"/>
    </row>
    <row r="507" spans="1:15" s="9" customFormat="1" ht="13.5" hidden="1" customHeight="1" x14ac:dyDescent="0.2">
      <c r="A507" s="12"/>
      <c r="B507" s="12"/>
      <c r="K507" s="12"/>
      <c r="L507" s="35">
        <f t="shared" si="71"/>
        <v>0</v>
      </c>
      <c r="M507" s="10"/>
      <c r="O507" s="10"/>
    </row>
    <row r="508" spans="1:15" s="9" customFormat="1" ht="13.5" hidden="1" customHeight="1" x14ac:dyDescent="0.2">
      <c r="A508" s="12"/>
      <c r="B508" s="12"/>
      <c r="K508" s="12"/>
      <c r="L508" s="35">
        <f t="shared" si="71"/>
        <v>0</v>
      </c>
      <c r="M508" s="10"/>
      <c r="O508" s="10"/>
    </row>
    <row r="509" spans="1:15" s="9" customFormat="1" ht="13.5" hidden="1" customHeight="1" x14ac:dyDescent="0.2">
      <c r="A509" s="12"/>
      <c r="B509" s="12"/>
      <c r="K509" s="12"/>
      <c r="L509" s="35">
        <f t="shared" si="71"/>
        <v>0</v>
      </c>
      <c r="M509" s="10"/>
      <c r="O509" s="10"/>
    </row>
    <row r="510" spans="1:15" s="9" customFormat="1" ht="13.5" hidden="1" customHeight="1" x14ac:dyDescent="0.2">
      <c r="A510" s="12"/>
      <c r="B510" s="12"/>
      <c r="K510" s="12"/>
      <c r="L510" s="35">
        <f t="shared" si="71"/>
        <v>0</v>
      </c>
      <c r="M510" s="10"/>
      <c r="O510" s="10"/>
    </row>
    <row r="511" spans="1:15" s="9" customFormat="1" ht="13.5" hidden="1" customHeight="1" x14ac:dyDescent="0.2">
      <c r="A511" s="12"/>
      <c r="B511" s="12"/>
      <c r="K511" s="12"/>
      <c r="L511" s="35">
        <f t="shared" si="71"/>
        <v>0</v>
      </c>
      <c r="M511" s="10"/>
      <c r="O511" s="10"/>
    </row>
    <row r="512" spans="1:15" s="9" customFormat="1" ht="13.5" hidden="1" customHeight="1" x14ac:dyDescent="0.2">
      <c r="A512" s="12"/>
      <c r="B512" s="12"/>
      <c r="K512" s="12"/>
      <c r="L512" s="35">
        <f t="shared" si="71"/>
        <v>0</v>
      </c>
      <c r="M512" s="10"/>
      <c r="O512" s="10"/>
    </row>
    <row r="513" spans="1:15" s="9" customFormat="1" ht="13.5" hidden="1" customHeight="1" x14ac:dyDescent="0.2">
      <c r="A513" s="12"/>
      <c r="B513" s="12"/>
      <c r="K513" s="12"/>
      <c r="L513" s="35">
        <f t="shared" si="71"/>
        <v>0</v>
      </c>
      <c r="M513" s="10"/>
      <c r="O513" s="10"/>
    </row>
    <row r="514" spans="1:15" s="9" customFormat="1" ht="13.5" hidden="1" customHeight="1" x14ac:dyDescent="0.2">
      <c r="A514" s="12"/>
      <c r="B514" s="12"/>
      <c r="K514" s="12"/>
      <c r="L514" s="35">
        <f t="shared" si="71"/>
        <v>0</v>
      </c>
      <c r="M514" s="10"/>
      <c r="O514" s="10"/>
    </row>
    <row r="515" spans="1:15" s="9" customFormat="1" ht="13.5" hidden="1" customHeight="1" x14ac:dyDescent="0.2">
      <c r="A515" s="12"/>
      <c r="B515" s="12"/>
      <c r="K515" s="12"/>
      <c r="L515" s="35">
        <f t="shared" si="71"/>
        <v>0</v>
      </c>
      <c r="M515" s="10"/>
      <c r="O515" s="10"/>
    </row>
    <row r="516" spans="1:15" s="9" customFormat="1" ht="13.5" hidden="1" customHeight="1" x14ac:dyDescent="0.2">
      <c r="A516" s="12"/>
      <c r="B516" s="12"/>
      <c r="K516" s="12"/>
      <c r="L516" s="35">
        <f t="shared" si="71"/>
        <v>0</v>
      </c>
      <c r="M516" s="10"/>
      <c r="O516" s="10"/>
    </row>
    <row r="517" spans="1:15" s="9" customFormat="1" ht="13.5" hidden="1" customHeight="1" x14ac:dyDescent="0.2">
      <c r="A517" s="12"/>
      <c r="B517" s="12"/>
      <c r="K517" s="12"/>
      <c r="L517" s="35">
        <f t="shared" si="71"/>
        <v>0</v>
      </c>
      <c r="M517" s="10"/>
      <c r="O517" s="10"/>
    </row>
    <row r="518" spans="1:15" s="9" customFormat="1" ht="13.5" hidden="1" customHeight="1" x14ac:dyDescent="0.2">
      <c r="A518" s="12"/>
      <c r="B518" s="12"/>
      <c r="K518" s="12"/>
      <c r="L518" s="35">
        <f t="shared" si="71"/>
        <v>0</v>
      </c>
      <c r="M518" s="10"/>
      <c r="O518" s="10"/>
    </row>
    <row r="519" spans="1:15" s="9" customFormat="1" ht="13.5" hidden="1" customHeight="1" x14ac:dyDescent="0.2">
      <c r="A519" s="12"/>
      <c r="B519" s="12"/>
      <c r="K519" s="12"/>
      <c r="L519" s="35">
        <f t="shared" si="71"/>
        <v>0</v>
      </c>
      <c r="M519" s="10"/>
      <c r="O519" s="10"/>
    </row>
    <row r="520" spans="1:15" s="9" customFormat="1" ht="13.5" hidden="1" customHeight="1" x14ac:dyDescent="0.2">
      <c r="A520" s="12"/>
      <c r="B520" s="12"/>
      <c r="K520" s="12"/>
      <c r="L520" s="35">
        <f t="shared" si="71"/>
        <v>0</v>
      </c>
      <c r="M520" s="10"/>
      <c r="O520" s="10"/>
    </row>
    <row r="521" spans="1:15" s="9" customFormat="1" ht="13.5" hidden="1" customHeight="1" x14ac:dyDescent="0.2">
      <c r="A521" s="12"/>
      <c r="B521" s="12"/>
      <c r="K521" s="12"/>
      <c r="L521" s="35">
        <f t="shared" ref="L521:L522" si="72">SUBTOTAL(9,C521:J521)</f>
        <v>0</v>
      </c>
      <c r="M521" s="10"/>
      <c r="O521" s="10"/>
    </row>
    <row r="522" spans="1:15" s="9" customFormat="1" ht="13.5" hidden="1" customHeight="1" x14ac:dyDescent="0.2">
      <c r="A522" s="12"/>
      <c r="B522" s="12"/>
      <c r="K522" s="12"/>
      <c r="L522" s="35">
        <f t="shared" si="72"/>
        <v>0</v>
      </c>
      <c r="M522" s="10"/>
      <c r="O522" s="10"/>
    </row>
    <row r="523" spans="1:15" s="9" customFormat="1" ht="13.5" hidden="1" customHeight="1" x14ac:dyDescent="0.2">
      <c r="A523" s="12"/>
      <c r="B523" s="12"/>
      <c r="K523" s="12"/>
      <c r="L523" s="35">
        <f t="shared" ref="L523" si="73">SUBTOTAL(9,C523:J523)</f>
        <v>0</v>
      </c>
      <c r="M523" s="10"/>
      <c r="O523" s="10"/>
    </row>
    <row r="524" spans="1:15" s="9" customFormat="1" ht="13.5" hidden="1" customHeight="1" x14ac:dyDescent="0.2">
      <c r="A524" s="12"/>
      <c r="B524" s="12"/>
      <c r="K524" s="12"/>
      <c r="L524" s="35">
        <f t="shared" ref="L524" si="74">SUBTOTAL(9,C524:J524)</f>
        <v>0</v>
      </c>
      <c r="M524" s="10"/>
      <c r="O524" s="10"/>
    </row>
    <row r="525" spans="1:15" s="9" customFormat="1" ht="13.5" hidden="1" customHeight="1" x14ac:dyDescent="0.2">
      <c r="A525" s="12"/>
      <c r="B525" s="12"/>
      <c r="K525" s="12"/>
      <c r="L525" s="35">
        <f t="shared" ref="L525:L567" si="75">SUBTOTAL(9,C525:J525)</f>
        <v>0</v>
      </c>
      <c r="M525" s="10"/>
      <c r="O525" s="10"/>
    </row>
    <row r="526" spans="1:15" s="9" customFormat="1" ht="13.5" hidden="1" customHeight="1" x14ac:dyDescent="0.2">
      <c r="A526" s="12"/>
      <c r="B526" s="12"/>
      <c r="K526" s="12"/>
      <c r="L526" s="35">
        <f t="shared" si="75"/>
        <v>0</v>
      </c>
      <c r="M526" s="10"/>
      <c r="O526" s="10"/>
    </row>
    <row r="527" spans="1:15" s="9" customFormat="1" ht="13.5" hidden="1" customHeight="1" x14ac:dyDescent="0.2">
      <c r="A527" s="12"/>
      <c r="B527" s="12"/>
      <c r="K527" s="12"/>
      <c r="L527" s="35">
        <f t="shared" si="75"/>
        <v>0</v>
      </c>
      <c r="M527" s="10"/>
      <c r="O527" s="10"/>
    </row>
    <row r="528" spans="1:15" s="9" customFormat="1" ht="13.5" hidden="1" customHeight="1" x14ac:dyDescent="0.2">
      <c r="A528" s="12"/>
      <c r="B528" s="12"/>
      <c r="K528" s="12"/>
      <c r="L528" s="35">
        <f t="shared" si="75"/>
        <v>0</v>
      </c>
      <c r="M528" s="10"/>
      <c r="O528" s="10"/>
    </row>
    <row r="529" spans="1:15" s="9" customFormat="1" ht="13.5" hidden="1" customHeight="1" x14ac:dyDescent="0.2">
      <c r="A529" s="12"/>
      <c r="B529" s="12"/>
      <c r="K529" s="12"/>
      <c r="L529" s="35">
        <f t="shared" si="75"/>
        <v>0</v>
      </c>
      <c r="M529" s="10"/>
      <c r="O529" s="10"/>
    </row>
    <row r="530" spans="1:15" s="9" customFormat="1" ht="13.5" hidden="1" customHeight="1" x14ac:dyDescent="0.2">
      <c r="A530" s="12"/>
      <c r="B530" s="12"/>
      <c r="K530" s="12"/>
      <c r="L530" s="35">
        <f t="shared" si="75"/>
        <v>0</v>
      </c>
      <c r="M530" s="10"/>
      <c r="O530" s="10"/>
    </row>
    <row r="531" spans="1:15" s="9" customFormat="1" ht="13.5" hidden="1" customHeight="1" x14ac:dyDescent="0.2">
      <c r="A531" s="12"/>
      <c r="B531" s="12"/>
      <c r="K531" s="12"/>
      <c r="L531" s="35">
        <f t="shared" si="75"/>
        <v>0</v>
      </c>
      <c r="M531" s="10"/>
      <c r="O531" s="10"/>
    </row>
    <row r="532" spans="1:15" s="9" customFormat="1" ht="13.5" hidden="1" customHeight="1" x14ac:dyDescent="0.2">
      <c r="A532" s="12"/>
      <c r="B532" s="12"/>
      <c r="K532" s="12"/>
      <c r="L532" s="35">
        <f t="shared" si="75"/>
        <v>0</v>
      </c>
      <c r="M532" s="10"/>
      <c r="O532" s="10"/>
    </row>
    <row r="533" spans="1:15" s="9" customFormat="1" ht="13.5" hidden="1" customHeight="1" x14ac:dyDescent="0.2">
      <c r="A533" s="12"/>
      <c r="B533" s="12"/>
      <c r="K533" s="12"/>
      <c r="L533" s="35">
        <f t="shared" si="75"/>
        <v>0</v>
      </c>
      <c r="M533" s="10"/>
      <c r="O533" s="10"/>
    </row>
    <row r="534" spans="1:15" s="9" customFormat="1" hidden="1" x14ac:dyDescent="0.2">
      <c r="A534" s="12"/>
      <c r="B534" s="12"/>
      <c r="K534" s="12"/>
      <c r="L534" s="35">
        <f t="shared" si="75"/>
        <v>0</v>
      </c>
      <c r="M534" s="10"/>
      <c r="O534" s="10"/>
    </row>
    <row r="535" spans="1:15" s="9" customFormat="1" hidden="1" x14ac:dyDescent="0.2">
      <c r="A535" s="12"/>
      <c r="B535" s="12"/>
      <c r="K535" s="12"/>
      <c r="L535" s="35">
        <f t="shared" si="75"/>
        <v>0</v>
      </c>
      <c r="M535" s="10"/>
      <c r="O535" s="10"/>
    </row>
    <row r="536" spans="1:15" s="9" customFormat="1" hidden="1" x14ac:dyDescent="0.2">
      <c r="A536" s="12"/>
      <c r="B536" s="12"/>
      <c r="K536" s="12"/>
      <c r="L536" s="35">
        <f t="shared" si="75"/>
        <v>0</v>
      </c>
      <c r="M536" s="10"/>
      <c r="O536" s="10"/>
    </row>
    <row r="537" spans="1:15" s="9" customFormat="1" hidden="1" x14ac:dyDescent="0.2">
      <c r="A537" s="12"/>
      <c r="B537" s="12"/>
      <c r="K537" s="12"/>
      <c r="L537" s="35">
        <f t="shared" si="75"/>
        <v>0</v>
      </c>
      <c r="M537" s="10"/>
      <c r="O537" s="10"/>
    </row>
    <row r="538" spans="1:15" s="9" customFormat="1" hidden="1" x14ac:dyDescent="0.2">
      <c r="A538" s="12"/>
      <c r="B538" s="12"/>
      <c r="K538" s="12"/>
      <c r="L538" s="35">
        <f t="shared" si="75"/>
        <v>0</v>
      </c>
      <c r="M538" s="10"/>
      <c r="O538" s="10"/>
    </row>
    <row r="539" spans="1:15" s="9" customFormat="1" hidden="1" x14ac:dyDescent="0.2">
      <c r="A539" s="12"/>
      <c r="B539" s="12"/>
      <c r="K539" s="12"/>
      <c r="L539" s="35">
        <f t="shared" si="75"/>
        <v>0</v>
      </c>
      <c r="M539" s="10"/>
      <c r="O539" s="10"/>
    </row>
    <row r="540" spans="1:15" s="9" customFormat="1" hidden="1" x14ac:dyDescent="0.2">
      <c r="A540" s="12"/>
      <c r="B540" s="12"/>
      <c r="K540" s="12"/>
      <c r="L540" s="35">
        <f t="shared" si="75"/>
        <v>0</v>
      </c>
      <c r="M540" s="10"/>
      <c r="O540" s="10"/>
    </row>
    <row r="541" spans="1:15" s="9" customFormat="1" hidden="1" x14ac:dyDescent="0.2">
      <c r="A541" s="12"/>
      <c r="B541" s="12"/>
      <c r="K541" s="12"/>
      <c r="L541" s="35">
        <f t="shared" si="75"/>
        <v>0</v>
      </c>
      <c r="M541" s="10"/>
      <c r="O541" s="10"/>
    </row>
    <row r="542" spans="1:15" s="9" customFormat="1" hidden="1" x14ac:dyDescent="0.2">
      <c r="A542" s="12"/>
      <c r="B542" s="12"/>
      <c r="K542" s="12"/>
      <c r="L542" s="35">
        <f t="shared" si="75"/>
        <v>0</v>
      </c>
      <c r="M542" s="10"/>
      <c r="O542" s="10"/>
    </row>
    <row r="543" spans="1:15" s="9" customFormat="1" hidden="1" x14ac:dyDescent="0.2">
      <c r="A543" s="12"/>
      <c r="B543" s="12"/>
      <c r="K543" s="12"/>
      <c r="L543" s="35">
        <f t="shared" si="75"/>
        <v>0</v>
      </c>
      <c r="M543" s="10"/>
      <c r="O543" s="10"/>
    </row>
    <row r="544" spans="1:15" s="9" customFormat="1" hidden="1" x14ac:dyDescent="0.2">
      <c r="A544" s="12"/>
      <c r="B544" s="12"/>
      <c r="K544" s="12"/>
      <c r="L544" s="35">
        <f t="shared" si="75"/>
        <v>0</v>
      </c>
      <c r="M544" s="10"/>
      <c r="O544" s="10"/>
    </row>
    <row r="545" spans="1:15" s="9" customFormat="1" hidden="1" x14ac:dyDescent="0.2">
      <c r="A545" s="12"/>
      <c r="B545" s="12"/>
      <c r="K545" s="12"/>
      <c r="L545" s="35">
        <f t="shared" si="75"/>
        <v>0</v>
      </c>
      <c r="M545" s="10"/>
      <c r="O545" s="10"/>
    </row>
    <row r="546" spans="1:15" s="9" customFormat="1" hidden="1" x14ac:dyDescent="0.2">
      <c r="A546" s="12"/>
      <c r="B546" s="12"/>
      <c r="K546" s="12"/>
      <c r="L546" s="35">
        <f t="shared" si="75"/>
        <v>0</v>
      </c>
      <c r="M546" s="10"/>
      <c r="O546" s="10"/>
    </row>
    <row r="547" spans="1:15" s="9" customFormat="1" hidden="1" x14ac:dyDescent="0.2">
      <c r="A547" s="12"/>
      <c r="B547" s="12"/>
      <c r="K547" s="12"/>
      <c r="L547" s="35">
        <f t="shared" si="75"/>
        <v>0</v>
      </c>
      <c r="M547" s="10"/>
      <c r="O547" s="10"/>
    </row>
    <row r="548" spans="1:15" s="9" customFormat="1" hidden="1" x14ac:dyDescent="0.2">
      <c r="A548" s="12"/>
      <c r="B548" s="12"/>
      <c r="K548" s="12"/>
      <c r="L548" s="35">
        <f t="shared" si="75"/>
        <v>0</v>
      </c>
      <c r="M548" s="10"/>
      <c r="O548" s="10"/>
    </row>
    <row r="549" spans="1:15" s="9" customFormat="1" hidden="1" x14ac:dyDescent="0.2">
      <c r="A549" s="12"/>
      <c r="B549" s="12"/>
      <c r="K549" s="12"/>
      <c r="L549" s="35">
        <f t="shared" si="75"/>
        <v>0</v>
      </c>
      <c r="M549" s="10"/>
      <c r="O549" s="10"/>
    </row>
    <row r="550" spans="1:15" s="9" customFormat="1" hidden="1" x14ac:dyDescent="0.2">
      <c r="A550" s="12"/>
      <c r="B550" s="12"/>
      <c r="K550" s="12"/>
      <c r="L550" s="35">
        <f t="shared" si="75"/>
        <v>0</v>
      </c>
      <c r="M550" s="10"/>
      <c r="O550" s="10"/>
    </row>
    <row r="551" spans="1:15" s="9" customFormat="1" hidden="1" x14ac:dyDescent="0.2">
      <c r="A551" s="12"/>
      <c r="B551" s="12"/>
      <c r="K551" s="12"/>
      <c r="L551" s="35">
        <f t="shared" si="75"/>
        <v>0</v>
      </c>
      <c r="M551" s="10"/>
      <c r="O551" s="10"/>
    </row>
    <row r="552" spans="1:15" s="9" customFormat="1" hidden="1" x14ac:dyDescent="0.2">
      <c r="A552" s="12"/>
      <c r="B552" s="12"/>
      <c r="K552" s="12"/>
      <c r="L552" s="35">
        <f t="shared" si="75"/>
        <v>0</v>
      </c>
      <c r="M552" s="10"/>
      <c r="O552" s="10"/>
    </row>
    <row r="553" spans="1:15" s="9" customFormat="1" hidden="1" x14ac:dyDescent="0.2">
      <c r="A553" s="12"/>
      <c r="B553" s="12"/>
      <c r="K553" s="12"/>
      <c r="L553" s="35">
        <f t="shared" si="75"/>
        <v>0</v>
      </c>
      <c r="M553" s="10"/>
      <c r="O553" s="10"/>
    </row>
    <row r="554" spans="1:15" s="9" customFormat="1" hidden="1" x14ac:dyDescent="0.2">
      <c r="A554" s="12"/>
      <c r="B554" s="12"/>
      <c r="K554" s="12"/>
      <c r="L554" s="35">
        <f t="shared" si="75"/>
        <v>0</v>
      </c>
      <c r="M554" s="10"/>
      <c r="O554" s="10"/>
    </row>
    <row r="555" spans="1:15" s="9" customFormat="1" hidden="1" x14ac:dyDescent="0.2">
      <c r="A555" s="12"/>
      <c r="B555" s="12"/>
      <c r="K555" s="12"/>
      <c r="L555" s="35">
        <f t="shared" si="75"/>
        <v>0</v>
      </c>
      <c r="M555" s="10"/>
      <c r="O555" s="10"/>
    </row>
    <row r="556" spans="1:15" s="9" customFormat="1" hidden="1" x14ac:dyDescent="0.2">
      <c r="A556" s="12"/>
      <c r="B556" s="12"/>
      <c r="K556" s="12"/>
      <c r="L556" s="35">
        <f t="shared" si="75"/>
        <v>0</v>
      </c>
      <c r="M556" s="10"/>
      <c r="O556" s="10"/>
    </row>
    <row r="557" spans="1:15" s="9" customFormat="1" hidden="1" x14ac:dyDescent="0.2">
      <c r="A557" s="12"/>
      <c r="B557" s="12"/>
      <c r="K557" s="12"/>
      <c r="L557" s="35">
        <f t="shared" si="75"/>
        <v>0</v>
      </c>
      <c r="M557" s="10"/>
      <c r="O557" s="10"/>
    </row>
    <row r="558" spans="1:15" s="9" customFormat="1" hidden="1" x14ac:dyDescent="0.2">
      <c r="A558" s="12"/>
      <c r="B558" s="12"/>
      <c r="K558" s="12"/>
      <c r="L558" s="35">
        <f t="shared" si="75"/>
        <v>0</v>
      </c>
      <c r="M558" s="10"/>
      <c r="O558" s="10"/>
    </row>
    <row r="559" spans="1:15" s="9" customFormat="1" hidden="1" x14ac:dyDescent="0.2">
      <c r="A559" s="12"/>
      <c r="B559" s="12"/>
      <c r="K559" s="12"/>
      <c r="L559" s="35">
        <f t="shared" si="75"/>
        <v>0</v>
      </c>
      <c r="M559" s="10"/>
      <c r="O559" s="10"/>
    </row>
    <row r="560" spans="1:15" s="9" customFormat="1" hidden="1" x14ac:dyDescent="0.2">
      <c r="A560" s="12"/>
      <c r="B560" s="12"/>
      <c r="K560" s="12"/>
      <c r="L560" s="35">
        <f t="shared" si="75"/>
        <v>0</v>
      </c>
      <c r="M560" s="10"/>
      <c r="O560" s="10"/>
    </row>
    <row r="561" spans="1:15" s="9" customFormat="1" hidden="1" x14ac:dyDescent="0.2">
      <c r="A561" s="12"/>
      <c r="B561" s="12"/>
      <c r="K561" s="12"/>
      <c r="L561" s="35">
        <f t="shared" si="75"/>
        <v>0</v>
      </c>
      <c r="M561" s="10"/>
      <c r="O561" s="10"/>
    </row>
    <row r="562" spans="1:15" s="9" customFormat="1" hidden="1" x14ac:dyDescent="0.2">
      <c r="A562" s="12"/>
      <c r="B562" s="12"/>
      <c r="K562" s="12"/>
      <c r="L562" s="35">
        <f t="shared" si="75"/>
        <v>0</v>
      </c>
      <c r="M562" s="10"/>
      <c r="O562" s="10"/>
    </row>
    <row r="563" spans="1:15" s="9" customFormat="1" hidden="1" x14ac:dyDescent="0.2">
      <c r="A563" s="12"/>
      <c r="B563" s="12"/>
      <c r="K563" s="12"/>
      <c r="L563" s="35">
        <f t="shared" si="75"/>
        <v>0</v>
      </c>
      <c r="M563" s="10"/>
      <c r="O563" s="10"/>
    </row>
    <row r="564" spans="1:15" s="9" customFormat="1" hidden="1" x14ac:dyDescent="0.2">
      <c r="A564" s="12"/>
      <c r="B564" s="12"/>
      <c r="K564" s="12"/>
      <c r="L564" s="35">
        <f t="shared" si="75"/>
        <v>0</v>
      </c>
      <c r="M564" s="10"/>
      <c r="O564" s="10"/>
    </row>
    <row r="565" spans="1:15" s="9" customFormat="1" hidden="1" x14ac:dyDescent="0.2">
      <c r="A565" s="12"/>
      <c r="B565" s="12"/>
      <c r="K565" s="12"/>
      <c r="L565" s="35">
        <f t="shared" si="75"/>
        <v>0</v>
      </c>
      <c r="M565" s="10"/>
      <c r="O565" s="10"/>
    </row>
    <row r="566" spans="1:15" s="9" customFormat="1" hidden="1" x14ac:dyDescent="0.2">
      <c r="A566" s="12"/>
      <c r="B566" s="12"/>
      <c r="K566" s="12"/>
      <c r="L566" s="35">
        <f t="shared" si="75"/>
        <v>0</v>
      </c>
      <c r="M566" s="10"/>
      <c r="O566" s="10"/>
    </row>
    <row r="567" spans="1:15" s="9" customFormat="1" hidden="1" x14ac:dyDescent="0.2">
      <c r="A567" s="12"/>
      <c r="B567" s="12"/>
      <c r="K567" s="12"/>
      <c r="L567" s="35">
        <f t="shared" si="75"/>
        <v>0</v>
      </c>
      <c r="M567" s="10"/>
      <c r="O567" s="10"/>
    </row>
    <row r="568" spans="1:15" s="9" customFormat="1" hidden="1" x14ac:dyDescent="0.2">
      <c r="A568" s="12"/>
      <c r="B568" s="12"/>
      <c r="K568" s="12"/>
      <c r="L568" s="35">
        <f>SUBTOTAL(9,C568:J568)</f>
        <v>0</v>
      </c>
      <c r="M568" s="10"/>
      <c r="O568" s="10"/>
    </row>
    <row r="569" spans="1:15" s="9" customFormat="1" hidden="1" x14ac:dyDescent="0.2">
      <c r="A569" s="12"/>
      <c r="B569" s="12"/>
      <c r="K569" s="12"/>
      <c r="L569" s="35">
        <f t="shared" ref="L569:L632" si="76">SUBTOTAL(9,C569:J569)</f>
        <v>0</v>
      </c>
      <c r="M569" s="10"/>
      <c r="O569" s="10"/>
    </row>
    <row r="570" spans="1:15" s="9" customFormat="1" hidden="1" x14ac:dyDescent="0.2">
      <c r="A570" s="12"/>
      <c r="B570" s="12"/>
      <c r="K570" s="12"/>
      <c r="L570" s="35">
        <f t="shared" si="76"/>
        <v>0</v>
      </c>
      <c r="M570" s="10"/>
      <c r="O570" s="10"/>
    </row>
    <row r="571" spans="1:15" s="9" customFormat="1" hidden="1" x14ac:dyDescent="0.2">
      <c r="A571" s="12"/>
      <c r="B571" s="12"/>
      <c r="K571" s="12"/>
      <c r="L571" s="35">
        <f t="shared" si="76"/>
        <v>0</v>
      </c>
      <c r="M571" s="10"/>
      <c r="O571" s="10"/>
    </row>
    <row r="572" spans="1:15" s="9" customFormat="1" hidden="1" x14ac:dyDescent="0.2">
      <c r="A572" s="12"/>
      <c r="B572" s="12"/>
      <c r="K572" s="12"/>
      <c r="L572" s="35">
        <f t="shared" si="76"/>
        <v>0</v>
      </c>
      <c r="M572" s="10"/>
      <c r="O572" s="10"/>
    </row>
    <row r="573" spans="1:15" s="9" customFormat="1" hidden="1" x14ac:dyDescent="0.2">
      <c r="A573" s="12"/>
      <c r="B573" s="12"/>
      <c r="K573" s="12"/>
      <c r="L573" s="35">
        <f t="shared" si="76"/>
        <v>0</v>
      </c>
      <c r="M573" s="10"/>
      <c r="O573" s="10"/>
    </row>
    <row r="574" spans="1:15" s="9" customFormat="1" hidden="1" x14ac:dyDescent="0.2">
      <c r="A574" s="12"/>
      <c r="B574" s="12"/>
      <c r="K574" s="12"/>
      <c r="L574" s="35">
        <f t="shared" si="76"/>
        <v>0</v>
      </c>
      <c r="M574" s="10"/>
      <c r="O574" s="10"/>
    </row>
    <row r="575" spans="1:15" s="9" customFormat="1" hidden="1" x14ac:dyDescent="0.2">
      <c r="A575" s="12"/>
      <c r="B575" s="12"/>
      <c r="K575" s="12"/>
      <c r="L575" s="35">
        <f t="shared" si="76"/>
        <v>0</v>
      </c>
      <c r="M575" s="10"/>
      <c r="O575" s="10"/>
    </row>
    <row r="576" spans="1:15" s="9" customFormat="1" hidden="1" x14ac:dyDescent="0.2">
      <c r="A576" s="12"/>
      <c r="B576" s="12"/>
      <c r="K576" s="12"/>
      <c r="L576" s="35">
        <f t="shared" si="76"/>
        <v>0</v>
      </c>
      <c r="M576" s="10"/>
      <c r="O576" s="10"/>
    </row>
    <row r="577" spans="1:15" s="9" customFormat="1" hidden="1" x14ac:dyDescent="0.2">
      <c r="A577" s="12"/>
      <c r="B577" s="12"/>
      <c r="K577" s="12"/>
      <c r="L577" s="35">
        <f t="shared" si="76"/>
        <v>0</v>
      </c>
      <c r="M577" s="10"/>
      <c r="O577" s="10"/>
    </row>
    <row r="578" spans="1:15" s="9" customFormat="1" hidden="1" x14ac:dyDescent="0.2">
      <c r="A578" s="12"/>
      <c r="B578" s="12"/>
      <c r="K578" s="12"/>
      <c r="L578" s="35">
        <f t="shared" si="76"/>
        <v>0</v>
      </c>
      <c r="M578" s="10"/>
      <c r="O578" s="10"/>
    </row>
    <row r="579" spans="1:15" s="9" customFormat="1" hidden="1" x14ac:dyDescent="0.2">
      <c r="A579" s="12"/>
      <c r="B579" s="12"/>
      <c r="K579" s="12"/>
      <c r="L579" s="35">
        <f t="shared" si="76"/>
        <v>0</v>
      </c>
      <c r="M579" s="10"/>
      <c r="O579" s="10"/>
    </row>
    <row r="580" spans="1:15" s="9" customFormat="1" hidden="1" x14ac:dyDescent="0.2">
      <c r="A580" s="12"/>
      <c r="B580" s="12"/>
      <c r="K580" s="12"/>
      <c r="L580" s="35">
        <f t="shared" si="76"/>
        <v>0</v>
      </c>
      <c r="M580" s="10"/>
      <c r="O580" s="10"/>
    </row>
    <row r="581" spans="1:15" s="9" customFormat="1" hidden="1" x14ac:dyDescent="0.2">
      <c r="A581" s="12"/>
      <c r="B581" s="12"/>
      <c r="K581" s="12"/>
      <c r="L581" s="35">
        <f t="shared" si="76"/>
        <v>0</v>
      </c>
      <c r="M581" s="10"/>
      <c r="O581" s="10"/>
    </row>
    <row r="582" spans="1:15" s="9" customFormat="1" hidden="1" x14ac:dyDescent="0.2">
      <c r="A582" s="12"/>
      <c r="B582" s="12"/>
      <c r="K582" s="12"/>
      <c r="L582" s="35">
        <f t="shared" si="76"/>
        <v>0</v>
      </c>
      <c r="M582" s="10"/>
      <c r="O582" s="10"/>
    </row>
    <row r="583" spans="1:15" s="9" customFormat="1" hidden="1" x14ac:dyDescent="0.2">
      <c r="A583" s="12"/>
      <c r="B583" s="12"/>
      <c r="K583" s="12"/>
      <c r="L583" s="35">
        <f t="shared" si="76"/>
        <v>0</v>
      </c>
      <c r="M583" s="10"/>
      <c r="O583" s="10"/>
    </row>
    <row r="584" spans="1:15" s="9" customFormat="1" hidden="1" x14ac:dyDescent="0.2">
      <c r="A584" s="12"/>
      <c r="B584" s="12"/>
      <c r="K584" s="12"/>
      <c r="L584" s="35">
        <f t="shared" ref="L584" si="77">SUBTOTAL(9,C584:J584)</f>
        <v>0</v>
      </c>
      <c r="M584" s="10"/>
      <c r="O584" s="10"/>
    </row>
    <row r="585" spans="1:15" s="9" customFormat="1" hidden="1" x14ac:dyDescent="0.2">
      <c r="A585" s="12"/>
      <c r="B585" s="12"/>
      <c r="K585" s="12"/>
      <c r="L585" s="35">
        <f t="shared" ref="L585:L606" si="78">SUBTOTAL(9,C585:J585)</f>
        <v>0</v>
      </c>
      <c r="M585" s="10"/>
      <c r="O585" s="10"/>
    </row>
    <row r="586" spans="1:15" s="9" customFormat="1" hidden="1" x14ac:dyDescent="0.2">
      <c r="A586" s="12"/>
      <c r="B586" s="12"/>
      <c r="K586" s="12"/>
      <c r="L586" s="35">
        <f t="shared" si="78"/>
        <v>0</v>
      </c>
      <c r="M586" s="10"/>
      <c r="O586" s="10"/>
    </row>
    <row r="587" spans="1:15" s="9" customFormat="1" hidden="1" x14ac:dyDescent="0.2">
      <c r="A587" s="12"/>
      <c r="B587" s="12"/>
      <c r="K587" s="12"/>
      <c r="L587" s="35">
        <f t="shared" si="78"/>
        <v>0</v>
      </c>
      <c r="M587" s="10"/>
      <c r="O587" s="10"/>
    </row>
    <row r="588" spans="1:15" s="9" customFormat="1" hidden="1" x14ac:dyDescent="0.2">
      <c r="A588" s="12"/>
      <c r="B588" s="12"/>
      <c r="K588" s="12"/>
      <c r="L588" s="35">
        <f t="shared" si="78"/>
        <v>0</v>
      </c>
      <c r="M588" s="10"/>
      <c r="O588" s="10"/>
    </row>
    <row r="589" spans="1:15" s="9" customFormat="1" hidden="1" x14ac:dyDescent="0.2">
      <c r="A589" s="12"/>
      <c r="B589" s="12"/>
      <c r="K589" s="12"/>
      <c r="L589" s="35">
        <f t="shared" si="78"/>
        <v>0</v>
      </c>
      <c r="M589" s="10"/>
      <c r="O589" s="10"/>
    </row>
    <row r="590" spans="1:15" s="9" customFormat="1" hidden="1" x14ac:dyDescent="0.2">
      <c r="A590" s="12"/>
      <c r="B590" s="12"/>
      <c r="K590" s="12"/>
      <c r="L590" s="35">
        <f t="shared" si="78"/>
        <v>0</v>
      </c>
      <c r="M590" s="10"/>
      <c r="O590" s="10"/>
    </row>
    <row r="591" spans="1:15" s="9" customFormat="1" hidden="1" x14ac:dyDescent="0.2">
      <c r="A591" s="12"/>
      <c r="B591" s="12"/>
      <c r="K591" s="12"/>
      <c r="L591" s="35">
        <f t="shared" si="78"/>
        <v>0</v>
      </c>
      <c r="M591" s="10"/>
      <c r="O591" s="10"/>
    </row>
    <row r="592" spans="1:15" s="9" customFormat="1" hidden="1" x14ac:dyDescent="0.2">
      <c r="A592" s="12"/>
      <c r="B592" s="12"/>
      <c r="K592" s="12"/>
      <c r="L592" s="35">
        <f t="shared" si="78"/>
        <v>0</v>
      </c>
      <c r="M592" s="10"/>
      <c r="O592" s="10"/>
    </row>
    <row r="593" spans="1:15" s="9" customFormat="1" hidden="1" x14ac:dyDescent="0.2">
      <c r="A593" s="12"/>
      <c r="B593" s="12"/>
      <c r="K593" s="12"/>
      <c r="L593" s="35">
        <f t="shared" si="78"/>
        <v>0</v>
      </c>
      <c r="M593" s="10"/>
      <c r="O593" s="10"/>
    </row>
    <row r="594" spans="1:15" s="9" customFormat="1" hidden="1" x14ac:dyDescent="0.2">
      <c r="A594" s="12"/>
      <c r="B594" s="12"/>
      <c r="K594" s="12"/>
      <c r="L594" s="35">
        <f t="shared" si="78"/>
        <v>0</v>
      </c>
      <c r="M594" s="10"/>
      <c r="O594" s="10"/>
    </row>
    <row r="595" spans="1:15" s="9" customFormat="1" hidden="1" x14ac:dyDescent="0.2">
      <c r="A595" s="12"/>
      <c r="B595" s="12"/>
      <c r="K595" s="12"/>
      <c r="L595" s="35">
        <f t="shared" si="78"/>
        <v>0</v>
      </c>
      <c r="M595" s="10"/>
      <c r="O595" s="10"/>
    </row>
    <row r="596" spans="1:15" s="9" customFormat="1" hidden="1" x14ac:dyDescent="0.2">
      <c r="A596" s="12"/>
      <c r="B596" s="12"/>
      <c r="K596" s="12"/>
      <c r="L596" s="35">
        <f t="shared" si="78"/>
        <v>0</v>
      </c>
      <c r="M596" s="10"/>
      <c r="O596" s="10"/>
    </row>
    <row r="597" spans="1:15" s="9" customFormat="1" hidden="1" x14ac:dyDescent="0.2">
      <c r="A597" s="12"/>
      <c r="B597" s="12"/>
      <c r="K597" s="12"/>
      <c r="L597" s="35">
        <f t="shared" si="78"/>
        <v>0</v>
      </c>
      <c r="M597" s="10"/>
      <c r="O597" s="10"/>
    </row>
    <row r="598" spans="1:15" s="9" customFormat="1" hidden="1" x14ac:dyDescent="0.2">
      <c r="A598" s="12"/>
      <c r="B598" s="12"/>
      <c r="K598" s="12"/>
      <c r="L598" s="35">
        <f t="shared" si="78"/>
        <v>0</v>
      </c>
      <c r="M598" s="10"/>
      <c r="O598" s="10"/>
    </row>
    <row r="599" spans="1:15" s="9" customFormat="1" hidden="1" x14ac:dyDescent="0.2">
      <c r="A599" s="12"/>
      <c r="B599" s="12"/>
      <c r="K599" s="12"/>
      <c r="L599" s="35">
        <f t="shared" si="78"/>
        <v>0</v>
      </c>
      <c r="M599" s="10"/>
      <c r="O599" s="10"/>
    </row>
    <row r="600" spans="1:15" s="9" customFormat="1" hidden="1" x14ac:dyDescent="0.2">
      <c r="A600" s="12"/>
      <c r="B600" s="12"/>
      <c r="K600" s="12"/>
      <c r="L600" s="35">
        <f t="shared" si="78"/>
        <v>0</v>
      </c>
      <c r="M600" s="10"/>
      <c r="O600" s="10"/>
    </row>
    <row r="601" spans="1:15" s="9" customFormat="1" hidden="1" x14ac:dyDescent="0.2">
      <c r="A601" s="12"/>
      <c r="B601" s="12"/>
      <c r="K601" s="12"/>
      <c r="L601" s="35">
        <f t="shared" si="78"/>
        <v>0</v>
      </c>
      <c r="M601" s="10"/>
      <c r="O601" s="10"/>
    </row>
    <row r="602" spans="1:15" s="9" customFormat="1" hidden="1" x14ac:dyDescent="0.2">
      <c r="A602" s="12"/>
      <c r="B602" s="12"/>
      <c r="K602" s="12"/>
      <c r="L602" s="35">
        <f t="shared" si="78"/>
        <v>0</v>
      </c>
      <c r="M602" s="10"/>
      <c r="O602" s="10"/>
    </row>
    <row r="603" spans="1:15" s="9" customFormat="1" hidden="1" x14ac:dyDescent="0.2">
      <c r="A603" s="12"/>
      <c r="B603" s="12"/>
      <c r="K603" s="12"/>
      <c r="L603" s="35">
        <f t="shared" si="78"/>
        <v>0</v>
      </c>
      <c r="M603" s="10"/>
      <c r="O603" s="10"/>
    </row>
    <row r="604" spans="1:15" s="9" customFormat="1" hidden="1" x14ac:dyDescent="0.2">
      <c r="A604" s="12"/>
      <c r="B604" s="12"/>
      <c r="K604" s="12"/>
      <c r="L604" s="35">
        <f t="shared" si="78"/>
        <v>0</v>
      </c>
      <c r="M604" s="10"/>
      <c r="O604" s="10"/>
    </row>
    <row r="605" spans="1:15" s="9" customFormat="1" hidden="1" x14ac:dyDescent="0.2">
      <c r="A605" s="12"/>
      <c r="B605" s="12"/>
      <c r="K605" s="12"/>
      <c r="L605" s="35">
        <f t="shared" si="78"/>
        <v>0</v>
      </c>
      <c r="M605" s="10"/>
      <c r="O605" s="10"/>
    </row>
    <row r="606" spans="1:15" s="9" customFormat="1" hidden="1" x14ac:dyDescent="0.2">
      <c r="A606" s="12"/>
      <c r="B606" s="12"/>
      <c r="K606" s="12"/>
      <c r="L606" s="35">
        <f t="shared" si="78"/>
        <v>0</v>
      </c>
      <c r="M606" s="10"/>
      <c r="O606" s="10"/>
    </row>
    <row r="607" spans="1:15" s="9" customFormat="1" ht="13.5" hidden="1" customHeight="1" x14ac:dyDescent="0.2">
      <c r="A607" s="12"/>
      <c r="B607" s="12"/>
      <c r="K607" s="12"/>
      <c r="L607" s="35">
        <f t="shared" si="76"/>
        <v>0</v>
      </c>
      <c r="M607" s="10"/>
      <c r="O607" s="10"/>
    </row>
    <row r="608" spans="1:15" s="9" customFormat="1" ht="13.5" hidden="1" customHeight="1" x14ac:dyDescent="0.2">
      <c r="A608" s="12"/>
      <c r="B608" s="12"/>
      <c r="K608" s="12"/>
      <c r="L608" s="35">
        <f t="shared" si="76"/>
        <v>0</v>
      </c>
      <c r="M608" s="10"/>
      <c r="O608" s="10"/>
    </row>
    <row r="609" spans="1:16" s="9" customFormat="1" ht="13.5" hidden="1" customHeight="1" x14ac:dyDescent="0.2">
      <c r="A609" s="12"/>
      <c r="B609" s="12"/>
      <c r="K609" s="12"/>
      <c r="L609" s="35">
        <f t="shared" si="76"/>
        <v>0</v>
      </c>
      <c r="M609" s="10"/>
      <c r="O609" s="10"/>
    </row>
    <row r="610" spans="1:16" s="9" customFormat="1" ht="13.5" hidden="1" customHeight="1" x14ac:dyDescent="0.2">
      <c r="A610" s="12"/>
      <c r="B610" s="12"/>
      <c r="K610" s="12"/>
      <c r="L610" s="35">
        <f t="shared" si="76"/>
        <v>0</v>
      </c>
      <c r="M610" s="10"/>
      <c r="O610" s="10"/>
    </row>
    <row r="611" spans="1:16" s="9" customFormat="1" ht="13.5" hidden="1" customHeight="1" x14ac:dyDescent="0.2">
      <c r="A611" s="12"/>
      <c r="B611" s="12"/>
      <c r="K611" s="12"/>
      <c r="L611" s="35">
        <f t="shared" si="76"/>
        <v>0</v>
      </c>
      <c r="M611" s="10"/>
      <c r="O611" s="10"/>
    </row>
    <row r="612" spans="1:16" s="9" customFormat="1" ht="13.5" hidden="1" customHeight="1" x14ac:dyDescent="0.2">
      <c r="A612" s="12"/>
      <c r="B612" s="12"/>
      <c r="K612" s="12"/>
      <c r="L612" s="35">
        <f t="shared" si="76"/>
        <v>0</v>
      </c>
      <c r="M612" s="10"/>
      <c r="O612" s="10"/>
    </row>
    <row r="613" spans="1:16" s="9" customFormat="1" ht="13.5" hidden="1" customHeight="1" x14ac:dyDescent="0.2">
      <c r="A613" s="12"/>
      <c r="B613" s="12"/>
      <c r="K613" s="12"/>
      <c r="L613" s="35">
        <f t="shared" si="76"/>
        <v>0</v>
      </c>
      <c r="M613" s="10"/>
      <c r="O613" s="10"/>
    </row>
    <row r="614" spans="1:16" s="9" customFormat="1" ht="13.5" hidden="1" customHeight="1" x14ac:dyDescent="0.2">
      <c r="A614" s="12"/>
      <c r="B614" s="12"/>
      <c r="K614" s="12"/>
      <c r="L614" s="35">
        <f t="shared" si="76"/>
        <v>0</v>
      </c>
      <c r="M614" s="10"/>
      <c r="O614" s="10"/>
    </row>
    <row r="615" spans="1:16" s="9" customFormat="1" ht="13.5" hidden="1" customHeight="1" x14ac:dyDescent="0.2">
      <c r="A615" s="12"/>
      <c r="B615" s="12"/>
      <c r="K615" s="12"/>
      <c r="L615" s="35">
        <f t="shared" si="76"/>
        <v>0</v>
      </c>
      <c r="M615" s="10"/>
      <c r="O615" s="10"/>
    </row>
    <row r="616" spans="1:16" s="9" customFormat="1" ht="13.5" hidden="1" customHeight="1" x14ac:dyDescent="0.2">
      <c r="A616" s="12"/>
      <c r="B616" s="12"/>
      <c r="K616" s="12"/>
      <c r="L616" s="35">
        <f t="shared" si="76"/>
        <v>0</v>
      </c>
      <c r="M616" s="10"/>
      <c r="O616" s="10"/>
    </row>
    <row r="617" spans="1:16" ht="10.5" hidden="1" customHeight="1" x14ac:dyDescent="0.2">
      <c r="A617" s="12"/>
      <c r="B617" s="12"/>
      <c r="C617" s="19"/>
      <c r="D617" s="9"/>
      <c r="E617" s="19"/>
      <c r="F617" s="19"/>
      <c r="G617" s="19"/>
      <c r="H617" s="19"/>
      <c r="I617" s="19"/>
      <c r="J617" s="19"/>
      <c r="K617" s="12"/>
      <c r="L617" s="35">
        <f t="shared" si="76"/>
        <v>0</v>
      </c>
      <c r="M617" s="10"/>
      <c r="N617" s="9"/>
      <c r="O617" s="10"/>
      <c r="P617" s="9"/>
    </row>
    <row r="618" spans="1:16" ht="10.5" hidden="1" customHeight="1" x14ac:dyDescent="0.2">
      <c r="A618" s="12"/>
      <c r="B618" s="12"/>
      <c r="C618" s="19"/>
      <c r="D618" s="9"/>
      <c r="E618" s="19"/>
      <c r="F618" s="19"/>
      <c r="G618" s="19"/>
      <c r="H618" s="19"/>
      <c r="I618" s="19"/>
      <c r="J618" s="19"/>
      <c r="K618" s="12"/>
      <c r="L618" s="35">
        <f t="shared" si="76"/>
        <v>0</v>
      </c>
      <c r="M618" s="10"/>
      <c r="N618" s="9"/>
      <c r="O618" s="10"/>
      <c r="P618" s="9"/>
    </row>
    <row r="619" spans="1:16" ht="10.5" hidden="1" customHeight="1" x14ac:dyDescent="0.2">
      <c r="A619" s="12"/>
      <c r="B619" s="12"/>
      <c r="C619" s="19"/>
      <c r="D619" s="9"/>
      <c r="E619" s="19"/>
      <c r="F619" s="19"/>
      <c r="G619" s="19"/>
      <c r="H619" s="19"/>
      <c r="I619" s="19"/>
      <c r="J619" s="19"/>
      <c r="K619" s="12"/>
      <c r="L619" s="35">
        <f t="shared" si="76"/>
        <v>0</v>
      </c>
      <c r="M619" s="10"/>
      <c r="N619" s="9"/>
      <c r="O619" s="10"/>
      <c r="P619" s="9"/>
    </row>
    <row r="620" spans="1:16" ht="10.5" hidden="1" customHeight="1" x14ac:dyDescent="0.2">
      <c r="A620" s="12"/>
      <c r="B620" s="12"/>
      <c r="C620" s="19"/>
      <c r="D620" s="9"/>
      <c r="E620" s="19"/>
      <c r="F620" s="19"/>
      <c r="G620" s="19"/>
      <c r="H620" s="19"/>
      <c r="I620" s="19"/>
      <c r="J620" s="19"/>
      <c r="K620" s="12"/>
      <c r="L620" s="35">
        <f t="shared" si="76"/>
        <v>0</v>
      </c>
      <c r="M620" s="10"/>
      <c r="N620" s="9"/>
      <c r="O620" s="10"/>
      <c r="P620" s="9"/>
    </row>
    <row r="621" spans="1:16" ht="10.5" hidden="1" customHeight="1" x14ac:dyDescent="0.2">
      <c r="A621" s="12"/>
      <c r="B621" s="12"/>
      <c r="C621" s="19"/>
      <c r="D621" s="9"/>
      <c r="E621" s="19"/>
      <c r="F621" s="19"/>
      <c r="G621" s="19"/>
      <c r="H621" s="19"/>
      <c r="I621" s="19"/>
      <c r="J621" s="19"/>
      <c r="K621" s="12"/>
      <c r="L621" s="35">
        <f t="shared" si="76"/>
        <v>0</v>
      </c>
      <c r="M621" s="10"/>
      <c r="N621" s="9"/>
      <c r="O621" s="10"/>
      <c r="P621" s="9"/>
    </row>
    <row r="622" spans="1:16" ht="10.5" hidden="1" customHeight="1" x14ac:dyDescent="0.2">
      <c r="A622" s="12"/>
      <c r="B622" s="12"/>
      <c r="C622" s="19"/>
      <c r="D622" s="9"/>
      <c r="E622" s="19"/>
      <c r="F622" s="19"/>
      <c r="G622" s="19"/>
      <c r="H622" s="19"/>
      <c r="I622" s="19"/>
      <c r="J622" s="19"/>
      <c r="K622" s="12"/>
      <c r="L622" s="35">
        <f t="shared" si="76"/>
        <v>0</v>
      </c>
      <c r="M622" s="10"/>
      <c r="N622" s="9"/>
      <c r="O622" s="10"/>
      <c r="P622" s="9"/>
    </row>
    <row r="623" spans="1:16" ht="10.5" hidden="1" customHeight="1" x14ac:dyDescent="0.2">
      <c r="A623" s="12"/>
      <c r="B623" s="12"/>
      <c r="C623" s="19"/>
      <c r="D623" s="9"/>
      <c r="E623" s="19"/>
      <c r="F623" s="19"/>
      <c r="G623" s="19"/>
      <c r="H623" s="19"/>
      <c r="I623" s="19"/>
      <c r="J623" s="19"/>
      <c r="K623" s="12"/>
      <c r="L623" s="35">
        <f t="shared" si="76"/>
        <v>0</v>
      </c>
      <c r="M623" s="10"/>
      <c r="N623" s="9"/>
      <c r="O623" s="10"/>
      <c r="P623" s="9"/>
    </row>
    <row r="624" spans="1:16" ht="10.5" hidden="1" customHeight="1" x14ac:dyDescent="0.2">
      <c r="A624" s="12"/>
      <c r="B624" s="12"/>
      <c r="C624" s="19"/>
      <c r="D624" s="9"/>
      <c r="E624" s="19"/>
      <c r="F624" s="19"/>
      <c r="G624" s="19"/>
      <c r="H624" s="19"/>
      <c r="I624" s="19"/>
      <c r="J624" s="19"/>
      <c r="K624" s="12"/>
      <c r="L624" s="35">
        <f t="shared" si="76"/>
        <v>0</v>
      </c>
      <c r="M624" s="10"/>
      <c r="N624" s="9"/>
      <c r="O624" s="10"/>
      <c r="P624" s="9"/>
    </row>
    <row r="625" spans="1:16" ht="10.5" hidden="1" customHeight="1" x14ac:dyDescent="0.2">
      <c r="A625" s="12"/>
      <c r="B625" s="12"/>
      <c r="C625" s="19"/>
      <c r="D625" s="9"/>
      <c r="E625" s="19"/>
      <c r="F625" s="19"/>
      <c r="G625" s="19"/>
      <c r="H625" s="19"/>
      <c r="I625" s="19"/>
      <c r="J625" s="19"/>
      <c r="K625" s="12"/>
      <c r="L625" s="35">
        <f t="shared" si="76"/>
        <v>0</v>
      </c>
      <c r="M625" s="10"/>
      <c r="N625" s="9"/>
      <c r="O625" s="10"/>
      <c r="P625" s="9"/>
    </row>
    <row r="626" spans="1:16" ht="10.5" hidden="1" customHeight="1" x14ac:dyDescent="0.2">
      <c r="A626" s="12"/>
      <c r="B626" s="12"/>
      <c r="C626" s="19"/>
      <c r="D626" s="9"/>
      <c r="E626" s="19"/>
      <c r="F626" s="19"/>
      <c r="G626" s="19"/>
      <c r="H626" s="19"/>
      <c r="I626" s="19"/>
      <c r="J626" s="19"/>
      <c r="K626" s="12"/>
      <c r="L626" s="35">
        <f t="shared" si="76"/>
        <v>0</v>
      </c>
      <c r="M626" s="10"/>
      <c r="N626" s="9"/>
      <c r="O626" s="10"/>
      <c r="P626" s="9"/>
    </row>
    <row r="627" spans="1:16" ht="10.5" hidden="1" customHeight="1" x14ac:dyDescent="0.2">
      <c r="A627" s="12"/>
      <c r="B627" s="12"/>
      <c r="C627" s="19"/>
      <c r="D627" s="9"/>
      <c r="E627" s="19"/>
      <c r="F627" s="19"/>
      <c r="G627" s="19"/>
      <c r="H627" s="19"/>
      <c r="I627" s="19"/>
      <c r="J627" s="19"/>
      <c r="K627" s="12"/>
      <c r="L627" s="35">
        <f t="shared" si="76"/>
        <v>0</v>
      </c>
      <c r="M627" s="10"/>
      <c r="N627" s="9"/>
      <c r="O627" s="10"/>
      <c r="P627" s="9"/>
    </row>
    <row r="628" spans="1:16" ht="10.5" hidden="1" customHeight="1" x14ac:dyDescent="0.2">
      <c r="A628" s="12"/>
      <c r="B628" s="12"/>
      <c r="C628" s="19"/>
      <c r="D628" s="9"/>
      <c r="E628" s="19"/>
      <c r="F628" s="19"/>
      <c r="G628" s="19"/>
      <c r="H628" s="19"/>
      <c r="I628" s="19"/>
      <c r="J628" s="19"/>
      <c r="K628" s="12"/>
      <c r="L628" s="35">
        <f t="shared" si="76"/>
        <v>0</v>
      </c>
      <c r="M628" s="10"/>
      <c r="N628" s="9"/>
      <c r="O628" s="10"/>
      <c r="P628" s="9"/>
    </row>
    <row r="629" spans="1:16" ht="10.5" hidden="1" customHeight="1" x14ac:dyDescent="0.2">
      <c r="A629" s="12"/>
      <c r="B629" s="12"/>
      <c r="C629" s="19"/>
      <c r="D629" s="9"/>
      <c r="E629" s="19"/>
      <c r="F629" s="19"/>
      <c r="G629" s="19"/>
      <c r="H629" s="19"/>
      <c r="I629" s="19"/>
      <c r="J629" s="19"/>
      <c r="K629" s="12"/>
      <c r="L629" s="35">
        <f t="shared" si="76"/>
        <v>0</v>
      </c>
      <c r="M629" s="10"/>
      <c r="N629" s="9"/>
      <c r="O629" s="10"/>
      <c r="P629" s="9"/>
    </row>
    <row r="630" spans="1:16" ht="10.5" hidden="1" customHeight="1" x14ac:dyDescent="0.2">
      <c r="A630" s="12"/>
      <c r="B630" s="12"/>
      <c r="C630" s="19"/>
      <c r="D630" s="9"/>
      <c r="E630" s="19"/>
      <c r="F630" s="19"/>
      <c r="G630" s="19"/>
      <c r="H630" s="19"/>
      <c r="I630" s="19"/>
      <c r="J630" s="19"/>
      <c r="K630" s="12"/>
      <c r="L630" s="35">
        <f t="shared" si="76"/>
        <v>0</v>
      </c>
      <c r="M630" s="10"/>
      <c r="N630" s="9"/>
      <c r="O630" s="10"/>
      <c r="P630" s="9"/>
    </row>
    <row r="631" spans="1:16" ht="10.5" hidden="1" customHeight="1" x14ac:dyDescent="0.2">
      <c r="A631" s="12"/>
      <c r="B631" s="12"/>
      <c r="C631" s="19"/>
      <c r="D631" s="9"/>
      <c r="E631" s="19"/>
      <c r="F631" s="19"/>
      <c r="G631" s="19"/>
      <c r="H631" s="19"/>
      <c r="I631" s="19"/>
      <c r="J631" s="19"/>
      <c r="K631" s="12"/>
      <c r="L631" s="35">
        <f t="shared" si="76"/>
        <v>0</v>
      </c>
      <c r="M631" s="10"/>
      <c r="N631" s="9"/>
      <c r="O631" s="10"/>
      <c r="P631" s="9"/>
    </row>
    <row r="632" spans="1:16" ht="10.5" hidden="1" customHeight="1" x14ac:dyDescent="0.2">
      <c r="A632" s="12"/>
      <c r="B632" s="12"/>
      <c r="C632" s="19"/>
      <c r="D632" s="9"/>
      <c r="E632" s="19"/>
      <c r="F632" s="19"/>
      <c r="G632" s="19"/>
      <c r="H632" s="19"/>
      <c r="I632" s="19"/>
      <c r="J632" s="19"/>
      <c r="K632" s="12"/>
      <c r="L632" s="35">
        <f t="shared" si="76"/>
        <v>0</v>
      </c>
      <c r="M632" s="10"/>
      <c r="N632" s="9"/>
      <c r="O632" s="10"/>
      <c r="P632" s="9"/>
    </row>
    <row r="633" spans="1:16" ht="10.5" hidden="1" customHeight="1" x14ac:dyDescent="0.2">
      <c r="A633" s="12"/>
      <c r="B633" s="12"/>
      <c r="C633" s="19"/>
      <c r="D633" s="9"/>
      <c r="E633" s="19"/>
      <c r="F633" s="19"/>
      <c r="G633" s="19"/>
      <c r="H633" s="19"/>
      <c r="I633" s="19"/>
      <c r="J633" s="19"/>
      <c r="K633" s="12"/>
      <c r="L633" s="35">
        <f t="shared" ref="L633:L696" si="79">SUBTOTAL(9,C633:J633)</f>
        <v>0</v>
      </c>
      <c r="M633" s="10"/>
      <c r="N633" s="9"/>
      <c r="O633" s="10"/>
      <c r="P633" s="9"/>
    </row>
    <row r="634" spans="1:16" ht="10.5" hidden="1" customHeight="1" x14ac:dyDescent="0.2">
      <c r="A634" s="12"/>
      <c r="B634" s="12"/>
      <c r="C634" s="19"/>
      <c r="D634" s="9"/>
      <c r="E634" s="19"/>
      <c r="F634" s="19"/>
      <c r="G634" s="19"/>
      <c r="H634" s="19"/>
      <c r="I634" s="19"/>
      <c r="J634" s="19"/>
      <c r="K634" s="12"/>
      <c r="L634" s="35">
        <f t="shared" si="79"/>
        <v>0</v>
      </c>
      <c r="M634" s="10"/>
      <c r="N634" s="9"/>
      <c r="O634" s="10"/>
      <c r="P634" s="9"/>
    </row>
    <row r="635" spans="1:16" ht="10.5" hidden="1" customHeight="1" x14ac:dyDescent="0.2">
      <c r="A635" s="12"/>
      <c r="B635" s="12"/>
      <c r="C635" s="19"/>
      <c r="D635" s="9"/>
      <c r="E635" s="19"/>
      <c r="F635" s="19"/>
      <c r="G635" s="19"/>
      <c r="H635" s="19"/>
      <c r="I635" s="19"/>
      <c r="J635" s="19"/>
      <c r="K635" s="12"/>
      <c r="L635" s="35">
        <f t="shared" si="79"/>
        <v>0</v>
      </c>
      <c r="M635" s="10"/>
      <c r="N635" s="9"/>
      <c r="O635" s="10"/>
      <c r="P635" s="9"/>
    </row>
    <row r="636" spans="1:16" ht="10.5" hidden="1" customHeight="1" x14ac:dyDescent="0.2">
      <c r="A636" s="12"/>
      <c r="B636" s="12"/>
      <c r="C636" s="19"/>
      <c r="D636" s="9"/>
      <c r="E636" s="19"/>
      <c r="F636" s="19"/>
      <c r="G636" s="19"/>
      <c r="H636" s="19"/>
      <c r="I636" s="19"/>
      <c r="J636" s="19"/>
      <c r="K636" s="12"/>
      <c r="L636" s="35">
        <f t="shared" si="79"/>
        <v>0</v>
      </c>
      <c r="M636" s="10"/>
      <c r="N636" s="9"/>
      <c r="O636" s="10"/>
      <c r="P636" s="9"/>
    </row>
    <row r="637" spans="1:16" ht="10.5" hidden="1" customHeight="1" x14ac:dyDescent="0.2">
      <c r="A637" s="12"/>
      <c r="B637" s="12"/>
      <c r="C637" s="19"/>
      <c r="D637" s="9"/>
      <c r="E637" s="19"/>
      <c r="F637" s="19"/>
      <c r="G637" s="19"/>
      <c r="H637" s="19"/>
      <c r="I637" s="19"/>
      <c r="J637" s="19"/>
      <c r="K637" s="12"/>
      <c r="L637" s="35">
        <f t="shared" si="79"/>
        <v>0</v>
      </c>
      <c r="M637" s="10"/>
      <c r="N637" s="9"/>
      <c r="O637" s="10"/>
      <c r="P637" s="9"/>
    </row>
    <row r="638" spans="1:16" ht="10.5" hidden="1" customHeight="1" x14ac:dyDescent="0.2">
      <c r="A638" s="12"/>
      <c r="B638" s="12"/>
      <c r="C638" s="19"/>
      <c r="D638" s="9"/>
      <c r="E638" s="19"/>
      <c r="F638" s="19"/>
      <c r="G638" s="19"/>
      <c r="H638" s="19"/>
      <c r="I638" s="19"/>
      <c r="J638" s="19"/>
      <c r="K638" s="12"/>
      <c r="L638" s="35">
        <f t="shared" si="79"/>
        <v>0</v>
      </c>
      <c r="M638" s="10"/>
      <c r="N638" s="9"/>
      <c r="O638" s="10"/>
      <c r="P638" s="9"/>
    </row>
    <row r="639" spans="1:16" ht="10.5" hidden="1" customHeight="1" x14ac:dyDescent="0.2">
      <c r="A639" s="12"/>
      <c r="B639" s="12"/>
      <c r="C639" s="19"/>
      <c r="D639" s="9"/>
      <c r="E639" s="19"/>
      <c r="F639" s="19"/>
      <c r="G639" s="19"/>
      <c r="H639" s="19"/>
      <c r="I639" s="19"/>
      <c r="J639" s="19"/>
      <c r="K639" s="12"/>
      <c r="L639" s="35">
        <f t="shared" si="79"/>
        <v>0</v>
      </c>
      <c r="M639" s="10"/>
      <c r="N639" s="9"/>
      <c r="O639" s="10"/>
      <c r="P639" s="9"/>
    </row>
    <row r="640" spans="1:16" ht="10.5" hidden="1" customHeight="1" x14ac:dyDescent="0.2">
      <c r="A640" s="12"/>
      <c r="B640" s="12"/>
      <c r="C640" s="19"/>
      <c r="D640" s="9"/>
      <c r="E640" s="19"/>
      <c r="F640" s="19"/>
      <c r="G640" s="19"/>
      <c r="H640" s="19"/>
      <c r="I640" s="19"/>
      <c r="J640" s="19"/>
      <c r="K640" s="12"/>
      <c r="L640" s="35">
        <f t="shared" si="79"/>
        <v>0</v>
      </c>
      <c r="M640" s="10"/>
      <c r="N640" s="9"/>
      <c r="O640" s="10"/>
      <c r="P640" s="9"/>
    </row>
    <row r="641" spans="1:16" ht="10.5" hidden="1" customHeight="1" x14ac:dyDescent="0.2">
      <c r="A641" s="12"/>
      <c r="B641" s="12"/>
      <c r="C641" s="19"/>
      <c r="D641" s="9"/>
      <c r="E641" s="19"/>
      <c r="F641" s="19"/>
      <c r="G641" s="19"/>
      <c r="H641" s="19"/>
      <c r="I641" s="19"/>
      <c r="J641" s="19"/>
      <c r="K641" s="12"/>
      <c r="L641" s="35">
        <f t="shared" si="79"/>
        <v>0</v>
      </c>
      <c r="M641" s="10"/>
      <c r="N641" s="9"/>
      <c r="O641" s="10"/>
      <c r="P641" s="9"/>
    </row>
    <row r="642" spans="1:16" ht="10.5" hidden="1" customHeight="1" x14ac:dyDescent="0.2">
      <c r="A642" s="12"/>
      <c r="B642" s="12"/>
      <c r="C642" s="19"/>
      <c r="D642" s="9"/>
      <c r="E642" s="19"/>
      <c r="F642" s="19"/>
      <c r="G642" s="19"/>
      <c r="H642" s="19"/>
      <c r="I642" s="19"/>
      <c r="J642" s="19"/>
      <c r="K642" s="12"/>
      <c r="L642" s="35">
        <f t="shared" si="79"/>
        <v>0</v>
      </c>
      <c r="M642" s="10"/>
      <c r="N642" s="9"/>
      <c r="O642" s="10"/>
      <c r="P642" s="9"/>
    </row>
    <row r="643" spans="1:16" ht="10.5" hidden="1" customHeight="1" x14ac:dyDescent="0.2">
      <c r="A643" s="12"/>
      <c r="B643" s="12"/>
      <c r="C643" s="19"/>
      <c r="D643" s="9"/>
      <c r="E643" s="19"/>
      <c r="F643" s="19"/>
      <c r="G643" s="19"/>
      <c r="H643" s="19"/>
      <c r="I643" s="19"/>
      <c r="J643" s="19"/>
      <c r="K643" s="12"/>
      <c r="L643" s="35">
        <f t="shared" si="79"/>
        <v>0</v>
      </c>
      <c r="M643" s="10"/>
      <c r="N643" s="9"/>
      <c r="O643" s="10"/>
      <c r="P643" s="9"/>
    </row>
    <row r="644" spans="1:16" ht="10.5" hidden="1" customHeight="1" x14ac:dyDescent="0.2">
      <c r="A644" s="12"/>
      <c r="B644" s="12"/>
      <c r="C644" s="19"/>
      <c r="D644" s="9"/>
      <c r="E644" s="19"/>
      <c r="F644" s="19"/>
      <c r="G644" s="19"/>
      <c r="H644" s="19"/>
      <c r="I644" s="19"/>
      <c r="J644" s="19"/>
      <c r="K644" s="12"/>
      <c r="L644" s="35">
        <f t="shared" si="79"/>
        <v>0</v>
      </c>
      <c r="M644" s="10"/>
      <c r="N644" s="9"/>
      <c r="O644" s="10"/>
      <c r="P644" s="9"/>
    </row>
    <row r="645" spans="1:16" ht="10.5" hidden="1" customHeight="1" x14ac:dyDescent="0.2">
      <c r="A645" s="12"/>
      <c r="B645" s="12"/>
      <c r="C645" s="19"/>
      <c r="D645" s="9"/>
      <c r="E645" s="19"/>
      <c r="F645" s="19"/>
      <c r="G645" s="19"/>
      <c r="H645" s="19"/>
      <c r="I645" s="19"/>
      <c r="J645" s="19"/>
      <c r="K645" s="12"/>
      <c r="L645" s="35">
        <f t="shared" si="79"/>
        <v>0</v>
      </c>
      <c r="M645" s="10"/>
      <c r="N645" s="9"/>
      <c r="O645" s="10"/>
      <c r="P645" s="9"/>
    </row>
    <row r="646" spans="1:16" ht="10.5" hidden="1" customHeight="1" x14ac:dyDescent="0.2">
      <c r="A646" s="12"/>
      <c r="B646" s="12"/>
      <c r="C646" s="19"/>
      <c r="D646" s="9"/>
      <c r="E646" s="19"/>
      <c r="F646" s="19"/>
      <c r="G646" s="19"/>
      <c r="H646" s="19"/>
      <c r="I646" s="19"/>
      <c r="J646" s="19"/>
      <c r="K646" s="12"/>
      <c r="L646" s="35">
        <f t="shared" si="79"/>
        <v>0</v>
      </c>
      <c r="M646" s="10"/>
      <c r="N646" s="9"/>
      <c r="O646" s="10"/>
      <c r="P646" s="9"/>
    </row>
    <row r="647" spans="1:16" ht="10.5" hidden="1" customHeight="1" x14ac:dyDescent="0.2">
      <c r="A647" s="12"/>
      <c r="B647" s="12"/>
      <c r="C647" s="19"/>
      <c r="D647" s="9"/>
      <c r="E647" s="19"/>
      <c r="F647" s="19"/>
      <c r="G647" s="19"/>
      <c r="H647" s="19"/>
      <c r="I647" s="19"/>
      <c r="J647" s="19"/>
      <c r="K647" s="12"/>
      <c r="L647" s="35">
        <f t="shared" si="79"/>
        <v>0</v>
      </c>
      <c r="M647" s="10"/>
      <c r="N647" s="9"/>
      <c r="O647" s="10"/>
      <c r="P647" s="9"/>
    </row>
    <row r="648" spans="1:16" ht="10.5" hidden="1" customHeight="1" x14ac:dyDescent="0.2">
      <c r="A648" s="12"/>
      <c r="B648" s="12"/>
      <c r="C648" s="19"/>
      <c r="D648" s="9"/>
      <c r="E648" s="19"/>
      <c r="F648" s="19"/>
      <c r="G648" s="19"/>
      <c r="H648" s="19"/>
      <c r="I648" s="19"/>
      <c r="J648" s="19"/>
      <c r="K648" s="12"/>
      <c r="L648" s="35">
        <f t="shared" si="79"/>
        <v>0</v>
      </c>
      <c r="M648" s="10"/>
      <c r="N648" s="9"/>
      <c r="O648" s="10"/>
      <c r="P648" s="9"/>
    </row>
    <row r="649" spans="1:16" ht="10.5" hidden="1" customHeight="1" x14ac:dyDescent="0.2">
      <c r="A649" s="12"/>
      <c r="B649" s="12"/>
      <c r="C649" s="19"/>
      <c r="D649" s="9"/>
      <c r="E649" s="19"/>
      <c r="F649" s="19"/>
      <c r="G649" s="19"/>
      <c r="H649" s="19"/>
      <c r="I649" s="19"/>
      <c r="J649" s="19"/>
      <c r="K649" s="12"/>
      <c r="L649" s="35">
        <f t="shared" si="79"/>
        <v>0</v>
      </c>
      <c r="M649" s="10"/>
      <c r="N649" s="9"/>
      <c r="O649" s="10"/>
      <c r="P649" s="9"/>
    </row>
    <row r="650" spans="1:16" ht="10.5" hidden="1" customHeight="1" x14ac:dyDescent="0.2">
      <c r="A650" s="12"/>
      <c r="B650" s="12"/>
      <c r="C650" s="19"/>
      <c r="D650" s="9"/>
      <c r="E650" s="19"/>
      <c r="F650" s="19"/>
      <c r="G650" s="19"/>
      <c r="H650" s="19"/>
      <c r="I650" s="19"/>
      <c r="J650" s="19"/>
      <c r="K650" s="12"/>
      <c r="L650" s="35">
        <f t="shared" si="79"/>
        <v>0</v>
      </c>
      <c r="M650" s="10"/>
      <c r="N650" s="9"/>
      <c r="O650" s="10"/>
      <c r="P650" s="9"/>
    </row>
    <row r="651" spans="1:16" ht="10.5" hidden="1" customHeight="1" x14ac:dyDescent="0.2">
      <c r="A651" s="12"/>
      <c r="B651" s="12"/>
      <c r="C651" s="19"/>
      <c r="D651" s="9"/>
      <c r="E651" s="19"/>
      <c r="F651" s="19"/>
      <c r="G651" s="19"/>
      <c r="H651" s="19"/>
      <c r="I651" s="19"/>
      <c r="J651" s="19"/>
      <c r="K651" s="12"/>
      <c r="L651" s="35">
        <f t="shared" si="79"/>
        <v>0</v>
      </c>
      <c r="M651" s="10"/>
      <c r="N651" s="9"/>
      <c r="O651" s="10"/>
      <c r="P651" s="9"/>
    </row>
    <row r="652" spans="1:16" ht="10.5" hidden="1" customHeight="1" x14ac:dyDescent="0.2">
      <c r="A652" s="12"/>
      <c r="B652" s="12"/>
      <c r="C652" s="19"/>
      <c r="D652" s="9"/>
      <c r="E652" s="19"/>
      <c r="F652" s="19"/>
      <c r="G652" s="19"/>
      <c r="H652" s="19"/>
      <c r="I652" s="19"/>
      <c r="J652" s="19"/>
      <c r="K652" s="12"/>
      <c r="L652" s="35">
        <f t="shared" si="79"/>
        <v>0</v>
      </c>
      <c r="M652" s="10"/>
      <c r="N652" s="9"/>
      <c r="O652" s="10"/>
      <c r="P652" s="9"/>
    </row>
    <row r="653" spans="1:16" ht="10.5" hidden="1" customHeight="1" x14ac:dyDescent="0.2">
      <c r="A653" s="12"/>
      <c r="B653" s="12"/>
      <c r="C653" s="19"/>
      <c r="D653" s="9"/>
      <c r="E653" s="19"/>
      <c r="F653" s="19"/>
      <c r="G653" s="19"/>
      <c r="H653" s="19"/>
      <c r="I653" s="19"/>
      <c r="J653" s="19"/>
      <c r="K653" s="12"/>
      <c r="L653" s="35">
        <f t="shared" si="79"/>
        <v>0</v>
      </c>
      <c r="M653" s="10"/>
      <c r="N653" s="9"/>
      <c r="O653" s="10"/>
      <c r="P653" s="9"/>
    </row>
    <row r="654" spans="1:16" ht="10.5" hidden="1" customHeight="1" x14ac:dyDescent="0.2">
      <c r="A654" s="12"/>
      <c r="B654" s="12"/>
      <c r="C654" s="19"/>
      <c r="D654" s="9"/>
      <c r="E654" s="19"/>
      <c r="F654" s="19"/>
      <c r="G654" s="19"/>
      <c r="H654" s="19"/>
      <c r="I654" s="19"/>
      <c r="J654" s="19"/>
      <c r="K654" s="12"/>
      <c r="L654" s="35">
        <f t="shared" si="79"/>
        <v>0</v>
      </c>
      <c r="M654" s="10"/>
      <c r="N654" s="9"/>
      <c r="O654" s="10"/>
      <c r="P654" s="9"/>
    </row>
    <row r="655" spans="1:16" ht="10.5" hidden="1" customHeight="1" x14ac:dyDescent="0.2">
      <c r="A655" s="12"/>
      <c r="B655" s="12"/>
      <c r="C655" s="19"/>
      <c r="D655" s="9"/>
      <c r="E655" s="19"/>
      <c r="F655" s="19"/>
      <c r="G655" s="19"/>
      <c r="H655" s="19"/>
      <c r="I655" s="19"/>
      <c r="J655" s="19"/>
      <c r="K655" s="12"/>
      <c r="L655" s="35">
        <f t="shared" si="79"/>
        <v>0</v>
      </c>
      <c r="M655" s="10"/>
      <c r="N655" s="9"/>
      <c r="O655" s="10"/>
      <c r="P655" s="9"/>
    </row>
    <row r="656" spans="1:16" ht="10.5" hidden="1" customHeight="1" x14ac:dyDescent="0.2">
      <c r="A656" s="12"/>
      <c r="B656" s="12"/>
      <c r="C656" s="19"/>
      <c r="D656" s="9"/>
      <c r="E656" s="19"/>
      <c r="F656" s="19"/>
      <c r="G656" s="19"/>
      <c r="H656" s="19"/>
      <c r="I656" s="19"/>
      <c r="J656" s="19"/>
      <c r="K656" s="12"/>
      <c r="L656" s="35">
        <f t="shared" si="79"/>
        <v>0</v>
      </c>
      <c r="M656" s="10"/>
      <c r="N656" s="9"/>
      <c r="O656" s="10"/>
      <c r="P656" s="9"/>
    </row>
    <row r="657" spans="1:16" ht="10.5" hidden="1" customHeight="1" x14ac:dyDescent="0.2">
      <c r="A657" s="12"/>
      <c r="B657" s="12"/>
      <c r="C657" s="19"/>
      <c r="D657" s="9"/>
      <c r="E657" s="19"/>
      <c r="F657" s="19"/>
      <c r="G657" s="19"/>
      <c r="H657" s="19"/>
      <c r="I657" s="19"/>
      <c r="J657" s="19"/>
      <c r="K657" s="12"/>
      <c r="L657" s="35">
        <f t="shared" si="79"/>
        <v>0</v>
      </c>
      <c r="M657" s="10"/>
      <c r="N657" s="9"/>
      <c r="O657" s="10"/>
      <c r="P657" s="9"/>
    </row>
    <row r="658" spans="1:16" ht="10.5" hidden="1" customHeight="1" x14ac:dyDescent="0.2">
      <c r="A658" s="12"/>
      <c r="B658" s="12"/>
      <c r="C658" s="19"/>
      <c r="D658" s="9"/>
      <c r="E658" s="19"/>
      <c r="F658" s="19"/>
      <c r="G658" s="19"/>
      <c r="H658" s="19"/>
      <c r="I658" s="19"/>
      <c r="J658" s="19"/>
      <c r="K658" s="12"/>
      <c r="L658" s="35">
        <f t="shared" si="79"/>
        <v>0</v>
      </c>
      <c r="M658" s="10"/>
      <c r="N658" s="9"/>
      <c r="O658" s="10"/>
      <c r="P658" s="9"/>
    </row>
    <row r="659" spans="1:16" ht="10.5" hidden="1" customHeight="1" x14ac:dyDescent="0.2">
      <c r="A659" s="12"/>
      <c r="B659" s="12"/>
      <c r="C659" s="19"/>
      <c r="D659" s="9"/>
      <c r="E659" s="19"/>
      <c r="F659" s="19"/>
      <c r="G659" s="19"/>
      <c r="H659" s="19"/>
      <c r="I659" s="19"/>
      <c r="J659" s="19"/>
      <c r="K659" s="12"/>
      <c r="L659" s="35">
        <f t="shared" si="79"/>
        <v>0</v>
      </c>
      <c r="M659" s="10"/>
      <c r="N659" s="9"/>
      <c r="O659" s="10"/>
      <c r="P659" s="9"/>
    </row>
    <row r="660" spans="1:16" ht="10.5" hidden="1" customHeight="1" x14ac:dyDescent="0.2">
      <c r="A660" s="12"/>
      <c r="B660" s="12"/>
      <c r="C660" s="19"/>
      <c r="D660" s="9"/>
      <c r="E660" s="19"/>
      <c r="F660" s="19"/>
      <c r="G660" s="19"/>
      <c r="H660" s="19"/>
      <c r="I660" s="19"/>
      <c r="J660" s="19"/>
      <c r="K660" s="12"/>
      <c r="L660" s="35">
        <f t="shared" si="79"/>
        <v>0</v>
      </c>
      <c r="M660" s="10"/>
      <c r="N660" s="9"/>
      <c r="O660" s="10"/>
      <c r="P660" s="9"/>
    </row>
    <row r="661" spans="1:16" ht="10.5" hidden="1" customHeight="1" x14ac:dyDescent="0.2">
      <c r="A661" s="12"/>
      <c r="B661" s="12"/>
      <c r="C661" s="19"/>
      <c r="D661" s="9"/>
      <c r="E661" s="19"/>
      <c r="F661" s="19"/>
      <c r="G661" s="19"/>
      <c r="H661" s="19"/>
      <c r="I661" s="19"/>
      <c r="J661" s="19"/>
      <c r="K661" s="12"/>
      <c r="L661" s="35">
        <f t="shared" si="79"/>
        <v>0</v>
      </c>
      <c r="M661" s="10"/>
      <c r="N661" s="9"/>
      <c r="O661" s="10"/>
      <c r="P661" s="9"/>
    </row>
    <row r="662" spans="1:16" ht="10.5" hidden="1" customHeight="1" x14ac:dyDescent="0.2">
      <c r="A662" s="12"/>
      <c r="B662" s="12"/>
      <c r="C662" s="19"/>
      <c r="D662" s="9"/>
      <c r="E662" s="19"/>
      <c r="F662" s="19"/>
      <c r="G662" s="19"/>
      <c r="H662" s="19"/>
      <c r="I662" s="19"/>
      <c r="J662" s="19"/>
      <c r="K662" s="12"/>
      <c r="L662" s="35">
        <f t="shared" si="79"/>
        <v>0</v>
      </c>
      <c r="M662" s="10"/>
      <c r="N662" s="9"/>
      <c r="O662" s="10"/>
      <c r="P662" s="9"/>
    </row>
    <row r="663" spans="1:16" ht="10.5" hidden="1" customHeight="1" x14ac:dyDescent="0.2">
      <c r="A663" s="12"/>
      <c r="B663" s="12"/>
      <c r="C663" s="19"/>
      <c r="D663" s="9"/>
      <c r="E663" s="19"/>
      <c r="F663" s="19"/>
      <c r="G663" s="19"/>
      <c r="H663" s="19"/>
      <c r="I663" s="19"/>
      <c r="J663" s="19"/>
      <c r="K663" s="12"/>
      <c r="L663" s="35">
        <f t="shared" si="79"/>
        <v>0</v>
      </c>
      <c r="M663" s="10"/>
      <c r="N663" s="9"/>
      <c r="O663" s="10"/>
      <c r="P663" s="9"/>
    </row>
    <row r="664" spans="1:16" ht="10.5" hidden="1" customHeight="1" x14ac:dyDescent="0.2">
      <c r="A664" s="12"/>
      <c r="B664" s="12"/>
      <c r="C664" s="19"/>
      <c r="D664" s="9"/>
      <c r="E664" s="19"/>
      <c r="F664" s="19"/>
      <c r="G664" s="19"/>
      <c r="H664" s="19"/>
      <c r="I664" s="19"/>
      <c r="J664" s="19"/>
      <c r="K664" s="12"/>
      <c r="L664" s="35">
        <f t="shared" si="79"/>
        <v>0</v>
      </c>
      <c r="M664" s="10"/>
      <c r="N664" s="9"/>
      <c r="O664" s="10"/>
      <c r="P664" s="9"/>
    </row>
    <row r="665" spans="1:16" ht="10.5" hidden="1" customHeight="1" x14ac:dyDescent="0.2">
      <c r="A665" s="12"/>
      <c r="B665" s="12"/>
      <c r="C665" s="19"/>
      <c r="D665" s="9"/>
      <c r="E665" s="19"/>
      <c r="F665" s="19"/>
      <c r="G665" s="19"/>
      <c r="H665" s="19"/>
      <c r="I665" s="19"/>
      <c r="J665" s="19"/>
      <c r="K665" s="12"/>
      <c r="L665" s="35">
        <f t="shared" si="79"/>
        <v>0</v>
      </c>
      <c r="M665" s="10"/>
      <c r="N665" s="9"/>
      <c r="O665" s="10"/>
      <c r="P665" s="9"/>
    </row>
    <row r="666" spans="1:16" ht="10.5" hidden="1" customHeight="1" x14ac:dyDescent="0.2">
      <c r="A666" s="12"/>
      <c r="B666" s="12"/>
      <c r="C666" s="19"/>
      <c r="D666" s="9"/>
      <c r="E666" s="19"/>
      <c r="F666" s="19"/>
      <c r="G666" s="19"/>
      <c r="H666" s="19"/>
      <c r="I666" s="19"/>
      <c r="J666" s="19"/>
      <c r="K666" s="12"/>
      <c r="L666" s="35">
        <f t="shared" si="79"/>
        <v>0</v>
      </c>
      <c r="M666" s="10"/>
      <c r="N666" s="9"/>
      <c r="O666" s="10"/>
      <c r="P666" s="9"/>
    </row>
    <row r="667" spans="1:16" ht="10.5" hidden="1" customHeight="1" x14ac:dyDescent="0.2">
      <c r="A667" s="12"/>
      <c r="B667" s="12"/>
      <c r="C667" s="19"/>
      <c r="D667" s="9"/>
      <c r="E667" s="19"/>
      <c r="F667" s="19"/>
      <c r="G667" s="19"/>
      <c r="H667" s="19"/>
      <c r="I667" s="19"/>
      <c r="J667" s="19"/>
      <c r="K667" s="12"/>
      <c r="L667" s="35">
        <f t="shared" si="79"/>
        <v>0</v>
      </c>
      <c r="M667" s="10"/>
      <c r="N667" s="9"/>
      <c r="O667" s="10"/>
      <c r="P667" s="9"/>
    </row>
    <row r="668" spans="1:16" ht="10.5" hidden="1" customHeight="1" x14ac:dyDescent="0.2">
      <c r="A668" s="12"/>
      <c r="B668" s="12"/>
      <c r="C668" s="19"/>
      <c r="D668" s="9"/>
      <c r="E668" s="19"/>
      <c r="F668" s="19"/>
      <c r="G668" s="19"/>
      <c r="H668" s="19"/>
      <c r="I668" s="19"/>
      <c r="J668" s="19"/>
      <c r="K668" s="12"/>
      <c r="L668" s="35">
        <f t="shared" si="79"/>
        <v>0</v>
      </c>
      <c r="M668" s="10"/>
      <c r="N668" s="9"/>
      <c r="O668" s="10"/>
      <c r="P668" s="9"/>
    </row>
    <row r="669" spans="1:16" ht="10.5" hidden="1" customHeight="1" x14ac:dyDescent="0.2">
      <c r="A669" s="12"/>
      <c r="B669" s="12"/>
      <c r="C669" s="19"/>
      <c r="D669" s="9"/>
      <c r="E669" s="19"/>
      <c r="F669" s="19"/>
      <c r="G669" s="19"/>
      <c r="H669" s="19"/>
      <c r="I669" s="19"/>
      <c r="J669" s="19"/>
      <c r="K669" s="12"/>
      <c r="L669" s="35">
        <f t="shared" si="79"/>
        <v>0</v>
      </c>
      <c r="M669" s="10"/>
      <c r="N669" s="9"/>
      <c r="O669" s="10"/>
      <c r="P669" s="9"/>
    </row>
    <row r="670" spans="1:16" ht="10.5" hidden="1" customHeight="1" x14ac:dyDescent="0.2">
      <c r="A670" s="12"/>
      <c r="B670" s="12"/>
      <c r="C670" s="19"/>
      <c r="D670" s="9"/>
      <c r="E670" s="19"/>
      <c r="F670" s="19"/>
      <c r="G670" s="19"/>
      <c r="H670" s="19"/>
      <c r="I670" s="19"/>
      <c r="J670" s="19"/>
      <c r="K670" s="12"/>
      <c r="L670" s="35">
        <f t="shared" si="79"/>
        <v>0</v>
      </c>
      <c r="M670" s="10"/>
      <c r="N670" s="9"/>
      <c r="O670" s="10"/>
      <c r="P670" s="9"/>
    </row>
    <row r="671" spans="1:16" hidden="1" x14ac:dyDescent="0.2">
      <c r="A671" s="12"/>
      <c r="B671" s="12"/>
      <c r="C671" s="19"/>
      <c r="D671" s="9"/>
      <c r="E671" s="19"/>
      <c r="F671" s="19"/>
      <c r="G671" s="19"/>
      <c r="H671" s="19"/>
      <c r="I671" s="19"/>
      <c r="J671" s="19"/>
      <c r="K671" s="12"/>
      <c r="L671" s="35">
        <f t="shared" si="79"/>
        <v>0</v>
      </c>
      <c r="M671" s="10"/>
      <c r="N671" s="9"/>
      <c r="O671" s="10"/>
      <c r="P671" s="9"/>
    </row>
    <row r="672" spans="1:16" hidden="1" x14ac:dyDescent="0.2">
      <c r="A672" s="12"/>
      <c r="B672" s="12"/>
      <c r="C672" s="19"/>
      <c r="D672" s="9"/>
      <c r="E672" s="19"/>
      <c r="F672" s="19"/>
      <c r="G672" s="19"/>
      <c r="H672" s="19"/>
      <c r="I672" s="19"/>
      <c r="J672" s="19"/>
      <c r="K672" s="12"/>
      <c r="L672" s="35">
        <f t="shared" si="79"/>
        <v>0</v>
      </c>
      <c r="M672" s="10"/>
      <c r="N672" s="9"/>
      <c r="O672" s="10"/>
      <c r="P672" s="9"/>
    </row>
    <row r="673" spans="1:16" hidden="1" x14ac:dyDescent="0.2">
      <c r="A673" s="12"/>
      <c r="B673" s="12"/>
      <c r="C673" s="19"/>
      <c r="D673" s="9"/>
      <c r="E673" s="19"/>
      <c r="F673" s="19"/>
      <c r="G673" s="19"/>
      <c r="H673" s="19"/>
      <c r="I673" s="19"/>
      <c r="J673" s="19"/>
      <c r="K673" s="12"/>
      <c r="L673" s="35">
        <f t="shared" si="79"/>
        <v>0</v>
      </c>
      <c r="M673" s="10"/>
      <c r="N673" s="9"/>
      <c r="O673" s="10"/>
      <c r="P673" s="9"/>
    </row>
    <row r="674" spans="1:16" hidden="1" x14ac:dyDescent="0.2">
      <c r="A674" s="12"/>
      <c r="B674" s="12"/>
      <c r="C674" s="19"/>
      <c r="D674" s="9"/>
      <c r="E674" s="19"/>
      <c r="F674" s="19"/>
      <c r="G674" s="19"/>
      <c r="H674" s="19"/>
      <c r="I674" s="19"/>
      <c r="J674" s="19"/>
      <c r="K674" s="12"/>
      <c r="L674" s="35">
        <f t="shared" si="79"/>
        <v>0</v>
      </c>
      <c r="M674" s="10"/>
      <c r="N674" s="9"/>
      <c r="O674" s="10"/>
      <c r="P674" s="9"/>
    </row>
    <row r="675" spans="1:16" hidden="1" x14ac:dyDescent="0.2">
      <c r="A675" s="12"/>
      <c r="B675" s="12"/>
      <c r="C675" s="19"/>
      <c r="D675" s="9"/>
      <c r="E675" s="19"/>
      <c r="F675" s="19"/>
      <c r="G675" s="19"/>
      <c r="H675" s="19"/>
      <c r="I675" s="19"/>
      <c r="J675" s="19"/>
      <c r="K675" s="12"/>
      <c r="L675" s="35">
        <f t="shared" si="79"/>
        <v>0</v>
      </c>
      <c r="M675" s="10"/>
      <c r="N675" s="9"/>
      <c r="O675" s="10"/>
      <c r="P675" s="9"/>
    </row>
    <row r="676" spans="1:16" hidden="1" x14ac:dyDescent="0.2">
      <c r="A676" s="12"/>
      <c r="B676" s="12"/>
      <c r="C676" s="19"/>
      <c r="D676" s="9"/>
      <c r="E676" s="19"/>
      <c r="F676" s="19"/>
      <c r="G676" s="19"/>
      <c r="H676" s="19"/>
      <c r="I676" s="19"/>
      <c r="J676" s="19"/>
      <c r="K676" s="12"/>
      <c r="L676" s="35">
        <f t="shared" si="79"/>
        <v>0</v>
      </c>
      <c r="M676" s="10"/>
      <c r="N676" s="9"/>
      <c r="O676" s="10"/>
      <c r="P676" s="9"/>
    </row>
    <row r="677" spans="1:16" hidden="1" x14ac:dyDescent="0.2">
      <c r="A677" s="12"/>
      <c r="B677" s="12"/>
      <c r="C677" s="19"/>
      <c r="D677" s="9"/>
      <c r="E677" s="19"/>
      <c r="F677" s="19"/>
      <c r="G677" s="19"/>
      <c r="H677" s="19"/>
      <c r="I677" s="19"/>
      <c r="J677" s="19"/>
      <c r="K677" s="12"/>
      <c r="L677" s="35">
        <f t="shared" si="79"/>
        <v>0</v>
      </c>
      <c r="M677" s="10"/>
      <c r="N677" s="9"/>
      <c r="O677" s="10"/>
      <c r="P677" s="9"/>
    </row>
    <row r="678" spans="1:16" hidden="1" x14ac:dyDescent="0.2">
      <c r="A678" s="12"/>
      <c r="B678" s="12"/>
      <c r="C678" s="19"/>
      <c r="D678" s="9"/>
      <c r="E678" s="19"/>
      <c r="F678" s="19"/>
      <c r="G678" s="19"/>
      <c r="H678" s="19"/>
      <c r="I678" s="19"/>
      <c r="J678" s="19"/>
      <c r="K678" s="12"/>
      <c r="L678" s="35">
        <f t="shared" si="79"/>
        <v>0</v>
      </c>
      <c r="M678" s="10"/>
      <c r="N678" s="9"/>
      <c r="O678" s="10"/>
      <c r="P678" s="9"/>
    </row>
    <row r="679" spans="1:16" hidden="1" x14ac:dyDescent="0.2">
      <c r="A679" s="12"/>
      <c r="B679" s="12"/>
      <c r="C679" s="19"/>
      <c r="D679" s="9"/>
      <c r="E679" s="19"/>
      <c r="F679" s="19"/>
      <c r="G679" s="19"/>
      <c r="H679" s="19"/>
      <c r="I679" s="19"/>
      <c r="J679" s="19"/>
      <c r="K679" s="12"/>
      <c r="L679" s="35">
        <f t="shared" si="79"/>
        <v>0</v>
      </c>
      <c r="M679" s="10"/>
      <c r="N679" s="9"/>
      <c r="O679" s="10"/>
      <c r="P679" s="9"/>
    </row>
    <row r="680" spans="1:16" hidden="1" x14ac:dyDescent="0.2">
      <c r="A680" s="12"/>
      <c r="B680" s="12"/>
      <c r="C680" s="19"/>
      <c r="D680" s="9"/>
      <c r="E680" s="19"/>
      <c r="F680" s="19"/>
      <c r="G680" s="19"/>
      <c r="H680" s="19"/>
      <c r="I680" s="19"/>
      <c r="J680" s="19"/>
      <c r="K680" s="12"/>
      <c r="L680" s="35">
        <f t="shared" si="79"/>
        <v>0</v>
      </c>
      <c r="M680" s="10"/>
      <c r="N680" s="9"/>
      <c r="O680" s="10"/>
      <c r="P680" s="9"/>
    </row>
    <row r="681" spans="1:16" hidden="1" x14ac:dyDescent="0.2">
      <c r="A681" s="12"/>
      <c r="B681" s="12"/>
      <c r="C681" s="19"/>
      <c r="D681" s="9"/>
      <c r="E681" s="19"/>
      <c r="F681" s="19"/>
      <c r="G681" s="19"/>
      <c r="H681" s="19"/>
      <c r="I681" s="19"/>
      <c r="J681" s="19"/>
      <c r="K681" s="12"/>
      <c r="L681" s="35">
        <f t="shared" si="79"/>
        <v>0</v>
      </c>
      <c r="M681" s="10"/>
      <c r="N681" s="9"/>
      <c r="O681" s="10"/>
      <c r="P681" s="9"/>
    </row>
    <row r="682" spans="1:16" hidden="1" x14ac:dyDescent="0.2">
      <c r="A682" s="12"/>
      <c r="B682" s="12"/>
      <c r="C682" s="19"/>
      <c r="D682" s="9"/>
      <c r="E682" s="19"/>
      <c r="F682" s="19"/>
      <c r="G682" s="19"/>
      <c r="H682" s="19"/>
      <c r="I682" s="19"/>
      <c r="J682" s="19"/>
      <c r="K682" s="12"/>
      <c r="L682" s="35">
        <f t="shared" si="79"/>
        <v>0</v>
      </c>
      <c r="M682" s="10"/>
      <c r="N682" s="9"/>
      <c r="O682" s="10"/>
      <c r="P682" s="9"/>
    </row>
    <row r="683" spans="1:16" hidden="1" x14ac:dyDescent="0.2">
      <c r="A683" s="12"/>
      <c r="B683" s="12"/>
      <c r="C683" s="19"/>
      <c r="D683" s="9"/>
      <c r="E683" s="19"/>
      <c r="F683" s="19"/>
      <c r="G683" s="19"/>
      <c r="H683" s="19"/>
      <c r="I683" s="19"/>
      <c r="J683" s="19"/>
      <c r="K683" s="12"/>
      <c r="L683" s="35">
        <f t="shared" si="79"/>
        <v>0</v>
      </c>
      <c r="M683" s="10"/>
      <c r="N683" s="9"/>
      <c r="O683" s="10"/>
      <c r="P683" s="9"/>
    </row>
    <row r="684" spans="1:16" hidden="1" x14ac:dyDescent="0.2">
      <c r="A684" s="12"/>
      <c r="B684" s="12"/>
      <c r="C684" s="19"/>
      <c r="D684" s="9"/>
      <c r="E684" s="19"/>
      <c r="F684" s="19"/>
      <c r="G684" s="19"/>
      <c r="H684" s="19"/>
      <c r="I684" s="19"/>
      <c r="J684" s="19"/>
      <c r="K684" s="12"/>
      <c r="L684" s="35">
        <f t="shared" si="79"/>
        <v>0</v>
      </c>
      <c r="M684" s="10"/>
      <c r="N684" s="9"/>
      <c r="O684" s="10"/>
      <c r="P684" s="9"/>
    </row>
    <row r="685" spans="1:16" hidden="1" x14ac:dyDescent="0.2">
      <c r="A685" s="12"/>
      <c r="B685" s="12"/>
      <c r="C685" s="19"/>
      <c r="D685" s="9"/>
      <c r="E685" s="19"/>
      <c r="F685" s="19"/>
      <c r="G685" s="19"/>
      <c r="H685" s="19"/>
      <c r="I685" s="19"/>
      <c r="J685" s="19"/>
      <c r="K685" s="12"/>
      <c r="L685" s="35">
        <f t="shared" si="79"/>
        <v>0</v>
      </c>
      <c r="M685" s="10"/>
      <c r="N685" s="9"/>
      <c r="O685" s="10"/>
      <c r="P685" s="9"/>
    </row>
    <row r="686" spans="1:16" hidden="1" x14ac:dyDescent="0.2">
      <c r="A686" s="12"/>
      <c r="B686" s="12"/>
      <c r="C686" s="19"/>
      <c r="D686" s="9"/>
      <c r="E686" s="19"/>
      <c r="F686" s="19"/>
      <c r="G686" s="19"/>
      <c r="H686" s="19"/>
      <c r="I686" s="19"/>
      <c r="J686" s="19"/>
      <c r="K686" s="12"/>
      <c r="L686" s="35">
        <f t="shared" si="79"/>
        <v>0</v>
      </c>
      <c r="M686" s="10"/>
      <c r="N686" s="9"/>
      <c r="O686" s="10"/>
      <c r="P686" s="9"/>
    </row>
    <row r="687" spans="1:16" hidden="1" x14ac:dyDescent="0.2">
      <c r="A687" s="12"/>
      <c r="B687" s="12"/>
      <c r="C687" s="19"/>
      <c r="D687" s="9"/>
      <c r="E687" s="19"/>
      <c r="F687" s="19"/>
      <c r="G687" s="19"/>
      <c r="H687" s="19"/>
      <c r="I687" s="19"/>
      <c r="J687" s="19"/>
      <c r="K687" s="12"/>
      <c r="L687" s="35">
        <f t="shared" si="79"/>
        <v>0</v>
      </c>
      <c r="M687" s="10"/>
      <c r="N687" s="9"/>
      <c r="O687" s="10"/>
      <c r="P687" s="9"/>
    </row>
    <row r="688" spans="1:16" hidden="1" x14ac:dyDescent="0.2">
      <c r="A688" s="12"/>
      <c r="B688" s="12"/>
      <c r="C688" s="19"/>
      <c r="D688" s="9"/>
      <c r="E688" s="19"/>
      <c r="F688" s="19"/>
      <c r="G688" s="19"/>
      <c r="H688" s="19"/>
      <c r="I688" s="19"/>
      <c r="J688" s="19"/>
      <c r="K688" s="12"/>
      <c r="L688" s="35">
        <f t="shared" si="79"/>
        <v>0</v>
      </c>
      <c r="M688" s="10"/>
      <c r="N688" s="9"/>
      <c r="O688" s="10"/>
      <c r="P688" s="9"/>
    </row>
    <row r="689" spans="1:16" hidden="1" x14ac:dyDescent="0.2">
      <c r="A689" s="12"/>
      <c r="B689" s="12"/>
      <c r="C689" s="19"/>
      <c r="D689" s="9"/>
      <c r="E689" s="19"/>
      <c r="F689" s="19"/>
      <c r="G689" s="19"/>
      <c r="H689" s="19"/>
      <c r="I689" s="19"/>
      <c r="J689" s="19"/>
      <c r="K689" s="12"/>
      <c r="L689" s="35">
        <f t="shared" si="79"/>
        <v>0</v>
      </c>
      <c r="M689" s="10"/>
      <c r="N689" s="9"/>
      <c r="O689" s="10"/>
      <c r="P689" s="9"/>
    </row>
    <row r="690" spans="1:16" hidden="1" x14ac:dyDescent="0.2">
      <c r="A690" s="12"/>
      <c r="B690" s="12"/>
      <c r="C690" s="19"/>
      <c r="D690" s="9"/>
      <c r="E690" s="19"/>
      <c r="F690" s="19"/>
      <c r="G690" s="19"/>
      <c r="H690" s="19"/>
      <c r="I690" s="19"/>
      <c r="J690" s="19"/>
      <c r="K690" s="12"/>
      <c r="L690" s="35">
        <f t="shared" si="79"/>
        <v>0</v>
      </c>
      <c r="M690" s="10"/>
      <c r="N690" s="9"/>
      <c r="O690" s="10"/>
      <c r="P690" s="9"/>
    </row>
    <row r="691" spans="1:16" hidden="1" x14ac:dyDescent="0.2">
      <c r="A691" s="12"/>
      <c r="B691" s="12"/>
      <c r="C691" s="19"/>
      <c r="D691" s="9"/>
      <c r="E691" s="19"/>
      <c r="F691" s="19"/>
      <c r="G691" s="19"/>
      <c r="H691" s="19"/>
      <c r="I691" s="19"/>
      <c r="J691" s="19"/>
      <c r="K691" s="12"/>
      <c r="L691" s="35">
        <f t="shared" si="79"/>
        <v>0</v>
      </c>
      <c r="M691" s="10"/>
      <c r="N691" s="9"/>
      <c r="O691" s="10"/>
      <c r="P691" s="9"/>
    </row>
    <row r="692" spans="1:16" hidden="1" x14ac:dyDescent="0.2">
      <c r="A692" s="12"/>
      <c r="B692" s="12"/>
      <c r="C692" s="19"/>
      <c r="D692" s="9"/>
      <c r="E692" s="19"/>
      <c r="F692" s="19"/>
      <c r="G692" s="19"/>
      <c r="H692" s="19"/>
      <c r="I692" s="19"/>
      <c r="J692" s="19"/>
      <c r="K692" s="12"/>
      <c r="L692" s="35">
        <f t="shared" si="79"/>
        <v>0</v>
      </c>
      <c r="M692" s="10"/>
      <c r="N692" s="9"/>
      <c r="O692" s="10"/>
      <c r="P692" s="9"/>
    </row>
    <row r="693" spans="1:16" hidden="1" x14ac:dyDescent="0.2">
      <c r="A693" s="12"/>
      <c r="B693" s="12"/>
      <c r="C693" s="19"/>
      <c r="D693" s="9"/>
      <c r="E693" s="19"/>
      <c r="F693" s="19"/>
      <c r="G693" s="19"/>
      <c r="H693" s="19"/>
      <c r="I693" s="19"/>
      <c r="J693" s="19"/>
      <c r="K693" s="12"/>
      <c r="L693" s="35">
        <f t="shared" si="79"/>
        <v>0</v>
      </c>
      <c r="M693" s="10"/>
      <c r="N693" s="9"/>
      <c r="O693" s="10"/>
      <c r="P693" s="9"/>
    </row>
    <row r="694" spans="1:16" hidden="1" x14ac:dyDescent="0.2">
      <c r="A694" s="12"/>
      <c r="B694" s="12"/>
      <c r="C694" s="19"/>
      <c r="D694" s="9"/>
      <c r="E694" s="19"/>
      <c r="F694" s="19"/>
      <c r="G694" s="19"/>
      <c r="H694" s="19"/>
      <c r="I694" s="19"/>
      <c r="J694" s="19"/>
      <c r="K694" s="12"/>
      <c r="L694" s="35">
        <f t="shared" si="79"/>
        <v>0</v>
      </c>
      <c r="M694" s="10"/>
      <c r="N694" s="9"/>
      <c r="O694" s="10"/>
      <c r="P694" s="9"/>
    </row>
    <row r="695" spans="1:16" hidden="1" x14ac:dyDescent="0.2">
      <c r="A695" s="12"/>
      <c r="B695" s="12"/>
      <c r="C695" s="19"/>
      <c r="D695" s="9"/>
      <c r="E695" s="19"/>
      <c r="F695" s="19"/>
      <c r="G695" s="19"/>
      <c r="H695" s="19"/>
      <c r="I695" s="19"/>
      <c r="J695" s="19"/>
      <c r="K695" s="12"/>
      <c r="L695" s="35">
        <f t="shared" si="79"/>
        <v>0</v>
      </c>
      <c r="M695" s="10"/>
      <c r="N695" s="9"/>
      <c r="O695" s="10"/>
      <c r="P695" s="9"/>
    </row>
    <row r="696" spans="1:16" hidden="1" x14ac:dyDescent="0.2">
      <c r="A696" s="12"/>
      <c r="B696" s="12"/>
      <c r="C696" s="19"/>
      <c r="D696" s="9"/>
      <c r="E696" s="19"/>
      <c r="F696" s="19"/>
      <c r="G696" s="19"/>
      <c r="H696" s="19"/>
      <c r="I696" s="19"/>
      <c r="J696" s="19"/>
      <c r="K696" s="12"/>
      <c r="L696" s="35">
        <f t="shared" si="79"/>
        <v>0</v>
      </c>
      <c r="M696" s="10"/>
      <c r="N696" s="9"/>
      <c r="O696" s="10"/>
      <c r="P696" s="9"/>
    </row>
    <row r="697" spans="1:16" hidden="1" x14ac:dyDescent="0.2">
      <c r="A697" s="12"/>
      <c r="B697" s="12"/>
      <c r="C697" s="19"/>
      <c r="D697" s="9"/>
      <c r="E697" s="19"/>
      <c r="F697" s="19"/>
      <c r="G697" s="19"/>
      <c r="H697" s="19"/>
      <c r="I697" s="19"/>
      <c r="J697" s="19"/>
      <c r="K697" s="12"/>
      <c r="L697" s="35">
        <f t="shared" ref="L697:L723" si="80">SUBTOTAL(9,C697:J697)</f>
        <v>0</v>
      </c>
      <c r="M697" s="10"/>
      <c r="N697" s="9"/>
      <c r="O697" s="10"/>
      <c r="P697" s="9"/>
    </row>
    <row r="698" spans="1:16" hidden="1" x14ac:dyDescent="0.2">
      <c r="A698" s="12"/>
      <c r="B698" s="12"/>
      <c r="C698" s="19"/>
      <c r="D698" s="9"/>
      <c r="E698" s="19"/>
      <c r="F698" s="19"/>
      <c r="G698" s="19"/>
      <c r="H698" s="19"/>
      <c r="I698" s="19"/>
      <c r="J698" s="19"/>
      <c r="K698" s="12"/>
      <c r="L698" s="35">
        <f t="shared" si="80"/>
        <v>0</v>
      </c>
      <c r="M698" s="10"/>
      <c r="N698" s="9"/>
      <c r="O698" s="10"/>
      <c r="P698" s="9"/>
    </row>
    <row r="699" spans="1:16" hidden="1" x14ac:dyDescent="0.2">
      <c r="A699" s="12"/>
      <c r="B699" s="12"/>
      <c r="C699" s="19"/>
      <c r="D699" s="9"/>
      <c r="E699" s="19"/>
      <c r="F699" s="19"/>
      <c r="G699" s="19"/>
      <c r="H699" s="19"/>
      <c r="I699" s="19"/>
      <c r="J699" s="19"/>
      <c r="K699" s="12"/>
      <c r="L699" s="35">
        <f t="shared" si="80"/>
        <v>0</v>
      </c>
      <c r="M699" s="10"/>
      <c r="N699" s="9"/>
      <c r="O699" s="10"/>
      <c r="P699" s="9"/>
    </row>
    <row r="700" spans="1:16" hidden="1" x14ac:dyDescent="0.2">
      <c r="A700" s="12"/>
      <c r="B700" s="12"/>
      <c r="C700" s="19"/>
      <c r="D700" s="9"/>
      <c r="E700" s="19"/>
      <c r="F700" s="19"/>
      <c r="G700" s="19"/>
      <c r="H700" s="19"/>
      <c r="I700" s="19"/>
      <c r="J700" s="19"/>
      <c r="K700" s="12"/>
      <c r="L700" s="35">
        <f t="shared" si="80"/>
        <v>0</v>
      </c>
      <c r="M700" s="10"/>
      <c r="N700" s="9"/>
      <c r="O700" s="10"/>
      <c r="P700" s="9"/>
    </row>
    <row r="701" spans="1:16" hidden="1" x14ac:dyDescent="0.2">
      <c r="A701" s="12"/>
      <c r="B701" s="12"/>
      <c r="C701" s="19"/>
      <c r="D701" s="9"/>
      <c r="E701" s="19"/>
      <c r="F701" s="19"/>
      <c r="G701" s="19"/>
      <c r="H701" s="19"/>
      <c r="I701" s="19"/>
      <c r="J701" s="19"/>
      <c r="K701" s="12"/>
      <c r="L701" s="35">
        <f t="shared" si="80"/>
        <v>0</v>
      </c>
      <c r="M701" s="10"/>
      <c r="N701" s="9"/>
      <c r="O701" s="10"/>
      <c r="P701" s="9"/>
    </row>
    <row r="702" spans="1:16" hidden="1" x14ac:dyDescent="0.2">
      <c r="A702" s="12"/>
      <c r="B702" s="12"/>
      <c r="C702" s="19"/>
      <c r="D702" s="9"/>
      <c r="E702" s="19"/>
      <c r="F702" s="19"/>
      <c r="G702" s="19"/>
      <c r="H702" s="19"/>
      <c r="I702" s="19"/>
      <c r="J702" s="19"/>
      <c r="K702" s="12"/>
      <c r="L702" s="35">
        <f t="shared" si="80"/>
        <v>0</v>
      </c>
      <c r="M702" s="10"/>
      <c r="N702" s="9"/>
      <c r="O702" s="10"/>
      <c r="P702" s="9"/>
    </row>
    <row r="703" spans="1:16" hidden="1" x14ac:dyDescent="0.2">
      <c r="A703" s="12"/>
      <c r="B703" s="12"/>
      <c r="C703" s="19"/>
      <c r="D703" s="9"/>
      <c r="E703" s="19"/>
      <c r="F703" s="19"/>
      <c r="G703" s="19"/>
      <c r="H703" s="19"/>
      <c r="I703" s="19"/>
      <c r="J703" s="19"/>
      <c r="K703" s="12"/>
      <c r="L703" s="35">
        <f t="shared" si="80"/>
        <v>0</v>
      </c>
      <c r="M703" s="10"/>
      <c r="N703" s="9"/>
      <c r="O703" s="10"/>
      <c r="P703" s="9"/>
    </row>
    <row r="704" spans="1:16" hidden="1" x14ac:dyDescent="0.2">
      <c r="A704" s="12"/>
      <c r="B704" s="12"/>
      <c r="C704" s="19"/>
      <c r="D704" s="9"/>
      <c r="E704" s="19"/>
      <c r="F704" s="19"/>
      <c r="G704" s="19"/>
      <c r="H704" s="19"/>
      <c r="I704" s="19"/>
      <c r="J704" s="19"/>
      <c r="K704" s="12"/>
      <c r="L704" s="35">
        <f t="shared" si="80"/>
        <v>0</v>
      </c>
      <c r="M704" s="10"/>
      <c r="N704" s="9"/>
      <c r="O704" s="10"/>
      <c r="P704" s="9"/>
    </row>
    <row r="705" spans="1:16" hidden="1" x14ac:dyDescent="0.2">
      <c r="A705" s="12"/>
      <c r="B705" s="12"/>
      <c r="C705" s="19"/>
      <c r="D705" s="9"/>
      <c r="E705" s="19"/>
      <c r="F705" s="19"/>
      <c r="G705" s="19"/>
      <c r="H705" s="19"/>
      <c r="I705" s="19"/>
      <c r="J705" s="19"/>
      <c r="K705" s="12"/>
      <c r="L705" s="35">
        <f t="shared" si="80"/>
        <v>0</v>
      </c>
      <c r="M705" s="10"/>
      <c r="N705" s="9"/>
      <c r="O705" s="10"/>
      <c r="P705" s="9"/>
    </row>
    <row r="706" spans="1:16" hidden="1" x14ac:dyDescent="0.2">
      <c r="A706" s="12"/>
      <c r="B706" s="12"/>
      <c r="C706" s="19"/>
      <c r="D706" s="9"/>
      <c r="E706" s="19"/>
      <c r="F706" s="19"/>
      <c r="G706" s="19"/>
      <c r="H706" s="19"/>
      <c r="I706" s="19"/>
      <c r="J706" s="19"/>
      <c r="K706" s="12"/>
      <c r="L706" s="35">
        <f t="shared" si="80"/>
        <v>0</v>
      </c>
      <c r="M706" s="10"/>
      <c r="N706" s="9"/>
      <c r="O706" s="10"/>
      <c r="P706" s="9"/>
    </row>
    <row r="707" spans="1:16" hidden="1" x14ac:dyDescent="0.2">
      <c r="A707" s="12"/>
      <c r="B707" s="12"/>
      <c r="C707" s="19"/>
      <c r="D707" s="9"/>
      <c r="E707" s="19"/>
      <c r="F707" s="19"/>
      <c r="G707" s="19"/>
      <c r="H707" s="19"/>
      <c r="I707" s="19"/>
      <c r="J707" s="19"/>
      <c r="K707" s="12"/>
      <c r="L707" s="35">
        <f t="shared" si="80"/>
        <v>0</v>
      </c>
      <c r="M707" s="10"/>
      <c r="N707" s="9"/>
      <c r="O707" s="10"/>
      <c r="P707" s="9"/>
    </row>
    <row r="708" spans="1:16" hidden="1" x14ac:dyDescent="0.2">
      <c r="A708" s="12"/>
      <c r="B708" s="12"/>
      <c r="C708" s="19"/>
      <c r="D708" s="9"/>
      <c r="E708" s="19"/>
      <c r="F708" s="19"/>
      <c r="G708" s="19"/>
      <c r="H708" s="19"/>
      <c r="I708" s="19"/>
      <c r="J708" s="19"/>
      <c r="K708" s="12"/>
      <c r="L708" s="35">
        <f t="shared" si="80"/>
        <v>0</v>
      </c>
      <c r="M708" s="10"/>
      <c r="N708" s="9"/>
    </row>
    <row r="709" spans="1:16" hidden="1" x14ac:dyDescent="0.2">
      <c r="A709" s="12"/>
      <c r="B709" s="12"/>
      <c r="C709" s="19"/>
      <c r="D709" s="9"/>
      <c r="E709" s="19"/>
      <c r="F709" s="19"/>
      <c r="G709" s="19"/>
      <c r="H709" s="19"/>
      <c r="I709" s="19"/>
      <c r="J709" s="19"/>
      <c r="K709" s="12"/>
      <c r="L709" s="35">
        <f t="shared" si="80"/>
        <v>0</v>
      </c>
      <c r="M709" s="10"/>
      <c r="N709" s="9"/>
    </row>
    <row r="710" spans="1:16" hidden="1" x14ac:dyDescent="0.2">
      <c r="A710" s="12"/>
      <c r="B710" s="12"/>
      <c r="C710" s="19"/>
      <c r="D710" s="9"/>
      <c r="E710" s="19"/>
      <c r="F710" s="19"/>
      <c r="G710" s="19"/>
      <c r="H710" s="19"/>
      <c r="I710" s="19"/>
      <c r="J710" s="19"/>
      <c r="K710" s="12"/>
      <c r="L710" s="35">
        <f t="shared" si="80"/>
        <v>0</v>
      </c>
      <c r="M710" s="10"/>
      <c r="N710" s="9"/>
    </row>
    <row r="711" spans="1:16" hidden="1" x14ac:dyDescent="0.2">
      <c r="A711" s="12"/>
      <c r="B711" s="12"/>
      <c r="C711" s="19"/>
      <c r="D711" s="9"/>
      <c r="E711" s="19"/>
      <c r="F711" s="19"/>
      <c r="G711" s="19"/>
      <c r="H711" s="19"/>
      <c r="I711" s="19"/>
      <c r="J711" s="19"/>
      <c r="K711" s="12"/>
      <c r="L711" s="35">
        <f t="shared" si="80"/>
        <v>0</v>
      </c>
      <c r="M711" s="10"/>
      <c r="N711" s="9"/>
    </row>
    <row r="712" spans="1:16" hidden="1" x14ac:dyDescent="0.2">
      <c r="A712" s="12"/>
      <c r="B712" s="12"/>
      <c r="C712" s="19"/>
      <c r="D712" s="9"/>
      <c r="E712" s="19"/>
      <c r="F712" s="19"/>
      <c r="G712" s="19"/>
      <c r="H712" s="19"/>
      <c r="I712" s="19"/>
      <c r="J712" s="19"/>
      <c r="K712" s="12"/>
      <c r="L712" s="35">
        <f t="shared" si="80"/>
        <v>0</v>
      </c>
      <c r="M712" s="10"/>
      <c r="N712" s="9"/>
    </row>
    <row r="713" spans="1:16" hidden="1" x14ac:dyDescent="0.2">
      <c r="A713" s="12"/>
      <c r="B713" s="12"/>
      <c r="C713" s="19"/>
      <c r="D713" s="9"/>
      <c r="E713" s="19"/>
      <c r="F713" s="19"/>
      <c r="G713" s="19"/>
      <c r="H713" s="19"/>
      <c r="I713" s="19"/>
      <c r="J713" s="19"/>
      <c r="K713" s="12"/>
      <c r="L713" s="35">
        <f t="shared" si="80"/>
        <v>0</v>
      </c>
      <c r="M713" s="10"/>
      <c r="N713" s="9"/>
    </row>
    <row r="714" spans="1:16" hidden="1" x14ac:dyDescent="0.2">
      <c r="A714" s="12"/>
      <c r="B714" s="12"/>
      <c r="C714" s="19"/>
      <c r="D714" s="9"/>
      <c r="E714" s="19"/>
      <c r="F714" s="19"/>
      <c r="G714" s="19"/>
      <c r="H714" s="19"/>
      <c r="I714" s="19"/>
      <c r="J714" s="19"/>
      <c r="K714" s="12"/>
      <c r="L714" s="35">
        <f t="shared" si="80"/>
        <v>0</v>
      </c>
      <c r="M714" s="10"/>
      <c r="N714" s="9"/>
    </row>
    <row r="715" spans="1:16" hidden="1" x14ac:dyDescent="0.2">
      <c r="A715" s="12"/>
      <c r="B715" s="12"/>
      <c r="C715" s="19"/>
      <c r="D715" s="9"/>
      <c r="E715" s="19"/>
      <c r="F715" s="19"/>
      <c r="G715" s="19"/>
      <c r="H715" s="19"/>
      <c r="I715" s="19"/>
      <c r="J715" s="19"/>
      <c r="K715" s="12"/>
      <c r="L715" s="35">
        <f t="shared" si="80"/>
        <v>0</v>
      </c>
      <c r="M715" s="10"/>
      <c r="N715" s="9"/>
    </row>
    <row r="716" spans="1:16" hidden="1" x14ac:dyDescent="0.2">
      <c r="A716" s="12"/>
      <c r="B716" s="12"/>
      <c r="C716" s="19"/>
      <c r="D716" s="9"/>
      <c r="E716" s="19"/>
      <c r="F716" s="19"/>
      <c r="G716" s="19"/>
      <c r="H716" s="19"/>
      <c r="I716" s="19"/>
      <c r="J716" s="19"/>
      <c r="K716" s="12"/>
      <c r="L716" s="35">
        <f t="shared" si="80"/>
        <v>0</v>
      </c>
      <c r="M716" s="10"/>
      <c r="N716" s="9"/>
    </row>
    <row r="717" spans="1:16" hidden="1" x14ac:dyDescent="0.2">
      <c r="A717" s="12"/>
      <c r="B717" s="12"/>
      <c r="C717" s="19"/>
      <c r="D717" s="9"/>
      <c r="E717" s="19"/>
      <c r="F717" s="19"/>
      <c r="G717" s="19"/>
      <c r="H717" s="19"/>
      <c r="I717" s="19"/>
      <c r="J717" s="19"/>
      <c r="K717" s="12"/>
      <c r="L717" s="35">
        <f t="shared" si="80"/>
        <v>0</v>
      </c>
      <c r="M717" s="10"/>
      <c r="N717" s="9"/>
    </row>
    <row r="718" spans="1:16" hidden="1" x14ac:dyDescent="0.2">
      <c r="A718" s="12"/>
      <c r="B718" s="12"/>
      <c r="C718" s="19"/>
      <c r="D718" s="9"/>
      <c r="E718" s="19"/>
      <c r="F718" s="19"/>
      <c r="G718" s="19"/>
      <c r="H718" s="19"/>
      <c r="I718" s="19"/>
      <c r="J718" s="19"/>
      <c r="K718" s="12"/>
      <c r="L718" s="35">
        <f t="shared" si="80"/>
        <v>0</v>
      </c>
      <c r="M718" s="10"/>
      <c r="N718" s="9"/>
    </row>
    <row r="719" spans="1:16" hidden="1" x14ac:dyDescent="0.2">
      <c r="A719" s="12"/>
      <c r="B719" s="12"/>
      <c r="C719" s="19"/>
      <c r="D719" s="9"/>
      <c r="E719" s="19"/>
      <c r="F719" s="19"/>
      <c r="G719" s="19"/>
      <c r="H719" s="19"/>
      <c r="I719" s="19"/>
      <c r="J719" s="19"/>
      <c r="K719" s="12"/>
      <c r="L719" s="35">
        <f t="shared" si="80"/>
        <v>0</v>
      </c>
      <c r="M719" s="10"/>
      <c r="N719" s="9"/>
    </row>
    <row r="720" spans="1:16" hidden="1" x14ac:dyDescent="0.2">
      <c r="A720" s="12"/>
      <c r="B720" s="12"/>
      <c r="C720" s="19"/>
      <c r="D720" s="9"/>
      <c r="E720" s="19"/>
      <c r="F720" s="19"/>
      <c r="G720" s="19"/>
      <c r="H720" s="19"/>
      <c r="I720" s="19"/>
      <c r="J720" s="19"/>
      <c r="K720" s="12"/>
      <c r="L720" s="35">
        <f t="shared" si="80"/>
        <v>0</v>
      </c>
      <c r="M720" s="10"/>
      <c r="N720" s="9"/>
    </row>
    <row r="721" spans="1:14" hidden="1" x14ac:dyDescent="0.2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35">
        <f t="shared" si="80"/>
        <v>0</v>
      </c>
    </row>
    <row r="722" spans="1:14" hidden="1" x14ac:dyDescent="0.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35">
        <f t="shared" si="80"/>
        <v>0</v>
      </c>
    </row>
    <row r="723" spans="1:14" hidden="1" x14ac:dyDescent="0.2">
      <c r="A723" s="19"/>
      <c r="B723" s="19"/>
      <c r="L723" s="35">
        <f t="shared" si="80"/>
        <v>0</v>
      </c>
      <c r="M723" s="10"/>
    </row>
    <row r="724" spans="1:14" x14ac:dyDescent="0.2">
      <c r="A724" s="12" t="s">
        <v>106</v>
      </c>
      <c r="C724" s="27">
        <f t="shared" ref="C724:J724" si="81">SUBTOTAL(9,C13:C687)</f>
        <v>172.5</v>
      </c>
      <c r="D724" s="27">
        <f t="shared" si="81"/>
        <v>46</v>
      </c>
      <c r="E724" s="27">
        <f t="shared" si="81"/>
        <v>0</v>
      </c>
      <c r="F724" s="27">
        <f t="shared" si="81"/>
        <v>0</v>
      </c>
      <c r="G724" s="27">
        <f t="shared" si="81"/>
        <v>0</v>
      </c>
      <c r="H724" s="27">
        <f t="shared" si="81"/>
        <v>329.32999999999993</v>
      </c>
      <c r="I724" s="27">
        <f t="shared" si="81"/>
        <v>0</v>
      </c>
      <c r="J724" s="45">
        <f t="shared" si="81"/>
        <v>44.09</v>
      </c>
      <c r="K724" s="27"/>
      <c r="L724" s="35">
        <f>SUM(C394:J724)</f>
        <v>3813.1499999999978</v>
      </c>
      <c r="M724" s="10"/>
      <c r="N724" s="9"/>
    </row>
    <row r="725" spans="1:14" x14ac:dyDescent="0.2">
      <c r="A725" s="12" t="s">
        <v>106</v>
      </c>
      <c r="C725" s="27"/>
      <c r="D725" s="27"/>
      <c r="E725" s="27"/>
      <c r="F725" s="27"/>
      <c r="G725" s="27"/>
      <c r="H725" s="27"/>
      <c r="I725" s="27"/>
      <c r="J725" s="27"/>
      <c r="K725" s="27"/>
      <c r="L725" s="36"/>
      <c r="M725" s="10"/>
      <c r="N725" s="9"/>
    </row>
    <row r="726" spans="1:14" x14ac:dyDescent="0.2">
      <c r="A726" s="43" t="s">
        <v>106</v>
      </c>
      <c r="B726" s="28"/>
      <c r="C726" s="27">
        <f t="shared" ref="C726:J726" si="82">SUM(C13:C687)</f>
        <v>13150.19000000001</v>
      </c>
      <c r="D726" s="27">
        <f t="shared" si="82"/>
        <v>1006</v>
      </c>
      <c r="E726" s="27">
        <f t="shared" si="82"/>
        <v>55</v>
      </c>
      <c r="F726" s="27">
        <f t="shared" si="82"/>
        <v>1830</v>
      </c>
      <c r="G726" s="27">
        <f t="shared" si="82"/>
        <v>483.99</v>
      </c>
      <c r="H726" s="27">
        <f t="shared" si="82"/>
        <v>4333.7699999999904</v>
      </c>
      <c r="I726" s="27">
        <f t="shared" si="82"/>
        <v>0</v>
      </c>
      <c r="J726" s="27">
        <f t="shared" si="82"/>
        <v>2518.5900000000011</v>
      </c>
      <c r="K726" s="28"/>
      <c r="L726" s="36">
        <f>SUM(L13:L687)</f>
        <v>591.91999999999996</v>
      </c>
      <c r="M726" s="10"/>
      <c r="N726" s="9"/>
    </row>
    <row r="727" spans="1:14" x14ac:dyDescent="0.2">
      <c r="A727" s="43" t="s">
        <v>106</v>
      </c>
      <c r="B727" s="28"/>
      <c r="C727" s="27"/>
      <c r="D727" s="27"/>
      <c r="E727" s="27"/>
      <c r="F727" s="27"/>
      <c r="G727" s="27"/>
      <c r="H727" s="27"/>
      <c r="I727" s="27"/>
      <c r="J727" s="27"/>
      <c r="K727" s="28"/>
      <c r="L727" s="33">
        <f>SUM(C727:J727)</f>
        <v>0</v>
      </c>
      <c r="M727" s="10"/>
      <c r="N727" s="9"/>
    </row>
    <row r="728" spans="1:14" x14ac:dyDescent="0.2">
      <c r="A728" s="19"/>
      <c r="B728" s="19"/>
      <c r="L728" s="35"/>
    </row>
    <row r="729" spans="1:14" x14ac:dyDescent="0.2">
      <c r="A729" s="19"/>
      <c r="B729" s="19"/>
      <c r="L729" s="35"/>
    </row>
    <row r="730" spans="1:14" x14ac:dyDescent="0.2">
      <c r="L730" s="35"/>
    </row>
    <row r="731" spans="1:14" x14ac:dyDescent="0.2">
      <c r="L731" s="35"/>
    </row>
    <row r="732" spans="1:14" x14ac:dyDescent="0.2">
      <c r="B732" s="12"/>
      <c r="C732" s="19"/>
      <c r="D732" s="9"/>
      <c r="E732" s="19"/>
      <c r="F732" s="19"/>
      <c r="G732" s="19"/>
      <c r="H732" s="19"/>
      <c r="I732" s="19"/>
      <c r="J732" s="19"/>
      <c r="K732" s="12"/>
      <c r="L732" s="35"/>
      <c r="M732" s="10"/>
      <c r="N732" s="9"/>
    </row>
    <row r="733" spans="1:14" x14ac:dyDescent="0.2">
      <c r="B733" s="12"/>
      <c r="C733" s="19"/>
      <c r="D733" s="9"/>
      <c r="E733" s="19"/>
      <c r="F733" s="19"/>
      <c r="G733" s="19"/>
      <c r="H733" s="19"/>
      <c r="I733" s="19"/>
      <c r="J733" s="19"/>
      <c r="K733" s="12"/>
      <c r="L733" s="35"/>
      <c r="M733" s="10"/>
      <c r="N733" s="9"/>
    </row>
    <row r="734" spans="1:14" x14ac:dyDescent="0.2">
      <c r="B734" s="12"/>
      <c r="C734" s="19"/>
      <c r="D734" s="9"/>
      <c r="E734" s="19"/>
      <c r="F734" s="19"/>
      <c r="G734" s="19"/>
      <c r="H734" s="19"/>
      <c r="I734" s="19"/>
      <c r="J734" s="19"/>
      <c r="K734" s="12"/>
      <c r="L734" s="35"/>
      <c r="M734" s="10"/>
      <c r="N734" s="9"/>
    </row>
    <row r="735" spans="1:14" x14ac:dyDescent="0.2">
      <c r="B735" s="12"/>
      <c r="C735" s="19"/>
      <c r="D735" s="9"/>
      <c r="E735" s="19"/>
      <c r="F735" s="19"/>
      <c r="G735" s="19"/>
      <c r="H735" s="19"/>
      <c r="I735" s="19"/>
      <c r="J735" s="19"/>
      <c r="K735" s="12"/>
      <c r="L735" s="35"/>
      <c r="M735" s="10"/>
      <c r="N735" s="9"/>
    </row>
    <row r="736" spans="1:14" x14ac:dyDescent="0.2">
      <c r="B736" s="12"/>
      <c r="C736" s="19"/>
      <c r="D736" s="9"/>
      <c r="E736" s="19"/>
      <c r="F736" s="19"/>
      <c r="G736" s="19"/>
      <c r="H736" s="19"/>
      <c r="I736" s="19"/>
      <c r="J736" s="19"/>
      <c r="K736" s="12"/>
      <c r="L736" s="35"/>
      <c r="M736" s="10"/>
      <c r="N736" s="9"/>
    </row>
    <row r="737" spans="1:14" x14ac:dyDescent="0.2">
      <c r="B737" s="12"/>
      <c r="C737" s="19"/>
      <c r="D737" s="9"/>
      <c r="E737" s="19"/>
      <c r="F737" s="19"/>
      <c r="G737" s="19"/>
      <c r="H737" s="19"/>
      <c r="I737" s="19"/>
      <c r="J737" s="19"/>
      <c r="K737" s="12"/>
      <c r="L737" s="35"/>
      <c r="M737" s="10"/>
      <c r="N737" s="9"/>
    </row>
    <row r="738" spans="1:14" x14ac:dyDescent="0.2">
      <c r="B738" s="12"/>
      <c r="C738" s="19"/>
      <c r="D738" s="9"/>
      <c r="E738" s="19"/>
      <c r="F738" s="19"/>
      <c r="G738" s="19"/>
      <c r="H738" s="19"/>
      <c r="I738" s="19"/>
      <c r="J738" s="19"/>
      <c r="K738" s="12"/>
      <c r="L738" s="35"/>
      <c r="M738" s="10"/>
      <c r="N738" s="9"/>
    </row>
    <row r="739" spans="1:14" x14ac:dyDescent="0.2">
      <c r="B739" s="12"/>
      <c r="C739" s="19"/>
      <c r="D739" s="9"/>
      <c r="E739" s="19"/>
      <c r="F739" s="19"/>
      <c r="G739" s="19"/>
      <c r="H739" s="19"/>
      <c r="I739" s="19"/>
      <c r="J739" s="19"/>
      <c r="K739" s="12"/>
      <c r="L739" s="35"/>
      <c r="M739" s="10"/>
      <c r="N739" s="9"/>
    </row>
    <row r="740" spans="1:14" x14ac:dyDescent="0.2">
      <c r="B740" s="12"/>
      <c r="K740" s="12"/>
      <c r="L740" s="35"/>
      <c r="M740" s="10"/>
      <c r="N740" s="9"/>
    </row>
    <row r="741" spans="1:14" hidden="1" x14ac:dyDescent="0.2">
      <c r="B741" s="12"/>
      <c r="K741" s="12"/>
      <c r="L741" s="35"/>
      <c r="M741" s="10"/>
      <c r="N741" s="9"/>
    </row>
    <row r="742" spans="1:14" x14ac:dyDescent="0.2">
      <c r="A742" s="19"/>
      <c r="B742" s="12"/>
      <c r="C742" s="19"/>
      <c r="D742" s="9"/>
      <c r="E742" s="19"/>
      <c r="F742" s="19"/>
      <c r="G742" s="19"/>
      <c r="H742" s="19"/>
      <c r="I742" s="19"/>
      <c r="J742" s="19"/>
      <c r="K742" s="12"/>
      <c r="L742" s="35"/>
      <c r="M742" s="10"/>
      <c r="N742" s="9"/>
    </row>
    <row r="743" spans="1:14" x14ac:dyDescent="0.2">
      <c r="A743" s="19"/>
      <c r="B743" s="12"/>
      <c r="K743" s="12"/>
      <c r="L743" s="35"/>
      <c r="M743" s="10"/>
      <c r="N743" s="9"/>
    </row>
    <row r="744" spans="1:14" x14ac:dyDescent="0.2">
      <c r="B744" s="12"/>
      <c r="K744" s="12"/>
      <c r="L744" s="35"/>
      <c r="M744" s="10"/>
      <c r="N744" s="9"/>
    </row>
    <row r="745" spans="1:14" hidden="1" x14ac:dyDescent="0.2">
      <c r="B745" s="12"/>
      <c r="K745" s="12"/>
      <c r="L745" s="35"/>
      <c r="M745" s="10"/>
      <c r="N745" s="9"/>
    </row>
    <row r="746" spans="1:14" x14ac:dyDescent="0.2">
      <c r="B746" s="12"/>
      <c r="K746" s="12"/>
      <c r="L746" s="35"/>
      <c r="M746" s="10"/>
      <c r="N746" s="9"/>
    </row>
    <row r="747" spans="1:14" x14ac:dyDescent="0.2">
      <c r="B747" s="12"/>
      <c r="K747" s="12"/>
      <c r="L747" s="35"/>
      <c r="M747" s="10"/>
      <c r="N747" s="9"/>
    </row>
    <row r="748" spans="1:14" x14ac:dyDescent="0.2">
      <c r="L748" s="35"/>
    </row>
    <row r="749" spans="1:14" hidden="1" x14ac:dyDescent="0.2">
      <c r="L749" s="35"/>
    </row>
    <row r="750" spans="1:14" hidden="1" x14ac:dyDescent="0.2">
      <c r="L750" s="35"/>
    </row>
    <row r="751" spans="1:14" x14ac:dyDescent="0.2">
      <c r="L751" s="35"/>
    </row>
    <row r="752" spans="1:14" hidden="1" x14ac:dyDescent="0.2">
      <c r="L752" s="35"/>
    </row>
    <row r="753" spans="12:12" x14ac:dyDescent="0.2">
      <c r="L753" s="35"/>
    </row>
    <row r="754" spans="12:12" x14ac:dyDescent="0.2">
      <c r="L754" s="35"/>
    </row>
  </sheetData>
  <sheetProtection autoFilter="0" pivotTables="0"/>
  <autoFilter ref="A12:O727" xr:uid="{00000000-0001-0000-0100-000000000000}">
    <filterColumn colId="0">
      <filters>
        <filter val="24"/>
        <filter val="X"/>
      </filters>
    </filterColumn>
  </autoFilter>
  <phoneticPr fontId="6" type="noConversion"/>
  <dataValidations xWindow="775" yWindow="536" count="5">
    <dataValidation type="list" allowBlank="1" showInputMessage="1" showErrorMessage="1" sqref="K12 K9 B12 B9 B748:B65934 K748:K65934 K723 K726:K731 B723:B731" xr:uid="{00000000-0002-0000-0100-000000000000}">
      <formula1>#REF!</formula1>
    </dataValidation>
    <dataValidation type="list" allowBlank="1" showInputMessage="1" showErrorMessage="1" sqref="M732:M747 M13:M727" xr:uid="{00000000-0002-0000-0100-000001000000}">
      <formula1>nomrepas</formula1>
    </dataValidation>
    <dataValidation type="list" allowBlank="1" showInputMessage="1" showErrorMessage="1" sqref="B732:B747 B13:B104 B724:B727 B106:B720" xr:uid="{00000000-0002-0000-0100-000002000000}">
      <formula1>nameplace</formula1>
    </dataValidation>
    <dataValidation type="list" allowBlank="1" showInputMessage="1" showErrorMessage="1" sqref="K732:K747 K724:K727 K13:K720" xr:uid="{00000000-0002-0000-0100-000003000000}">
      <formula1>nom_paiement</formula1>
    </dataValidation>
    <dataValidation type="list" allowBlank="1" showInputMessage="1" showErrorMessage="1" sqref="O671:O690 O607:O616 O13:O570" xr:uid="{00000000-0002-0000-0100-000004000000}">
      <formula1>autorisation</formula1>
    </dataValidation>
  </dataValidations>
  <printOptions gridLines="1"/>
  <pageMargins left="0.25" right="0.25" top="0.75" bottom="0.75" header="0.3" footer="0.3"/>
  <pageSetup paperSize="9" scale="86" fitToHeight="0" orientation="landscape" r:id="rId1"/>
  <headerFooter alignWithMargins="0">
    <oddHeader>&amp;LSHERATON LAVAL&amp;CRAPPORT JOURNALIER HOTEL PROMOTION&amp;RMai 2024</oddHeader>
    <oddFooter>&amp;Lpage &amp;P de &amp;N&amp;RMai 2024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1">
    <pageSetUpPr fitToPage="1"/>
  </sheetPr>
  <dimension ref="A1:S87"/>
  <sheetViews>
    <sheetView showFormulas="1" tabSelected="1" zoomScale="115" zoomScaleNormal="115" workbookViewId="0">
      <selection activeCell="I15" sqref="I15"/>
    </sheetView>
  </sheetViews>
  <sheetFormatPr baseColWidth="10" defaultColWidth="11.5703125" defaultRowHeight="12.75" x14ac:dyDescent="0.2"/>
  <cols>
    <col min="1" max="1" width="12.85546875" style="18" customWidth="1"/>
    <col min="2" max="2" width="9.42578125" style="18" bestFit="1" customWidth="1"/>
    <col min="3" max="4" width="8.42578125" style="44" bestFit="1" customWidth="1"/>
    <col min="5" max="5" width="3.42578125" style="44" bestFit="1" customWidth="1"/>
    <col min="6" max="7" width="3.42578125" style="18" bestFit="1" customWidth="1"/>
    <col min="8" max="11" width="8.42578125" style="18" bestFit="1" customWidth="1"/>
    <col min="12" max="12" width="3.42578125" style="18" bestFit="1" customWidth="1"/>
    <col min="13" max="18" width="8.42578125" style="18" bestFit="1" customWidth="1"/>
    <col min="19" max="19" width="3.85546875" style="18" bestFit="1" customWidth="1"/>
    <col min="20" max="16384" width="11.5703125" style="18"/>
  </cols>
  <sheetData>
    <row r="1" spans="1:19" x14ac:dyDescent="0.2">
      <c r="A1" s="59" t="s">
        <v>51</v>
      </c>
      <c r="B1" s="59"/>
      <c r="C1" s="59"/>
      <c r="D1" s="59"/>
      <c r="E1" s="59"/>
      <c r="F1" s="59"/>
    </row>
    <row r="2" spans="1:19" x14ac:dyDescent="0.2">
      <c r="A2" s="60" t="s">
        <v>55</v>
      </c>
      <c r="B2" s="61"/>
      <c r="C2" s="61"/>
      <c r="D2" s="61"/>
      <c r="E2" s="61"/>
      <c r="F2" s="61"/>
    </row>
    <row r="3" spans="1:19" x14ac:dyDescent="0.2">
      <c r="A3" s="54" t="s">
        <v>55</v>
      </c>
      <c r="B3" s="57">
        <v>24</v>
      </c>
    </row>
    <row r="5" spans="1:19" x14ac:dyDescent="0.2">
      <c r="A5" s="49"/>
      <c r="B5" s="50"/>
      <c r="C5" s="75" t="s">
        <v>9</v>
      </c>
      <c r="D5" s="76"/>
      <c r="E5" s="77"/>
      <c r="F5"/>
      <c r="G5"/>
      <c r="H5"/>
      <c r="I5"/>
      <c r="J5"/>
      <c r="K5"/>
      <c r="L5"/>
      <c r="M5"/>
      <c r="N5"/>
      <c r="O5"/>
      <c r="P5"/>
      <c r="Q5"/>
      <c r="R5"/>
      <c r="S5"/>
    </row>
    <row r="6" spans="1:19" x14ac:dyDescent="0.2">
      <c r="A6" s="51" t="s">
        <v>10</v>
      </c>
      <c r="B6" s="51" t="s">
        <v>2</v>
      </c>
      <c r="C6" s="78" t="s">
        <v>17</v>
      </c>
      <c r="D6" s="79" t="s">
        <v>16</v>
      </c>
      <c r="E6" s="80" t="s">
        <v>1</v>
      </c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spans="1:19" x14ac:dyDescent="0.2">
      <c r="A7" s="49" t="s">
        <v>20</v>
      </c>
      <c r="B7" s="49" t="s">
        <v>96</v>
      </c>
      <c r="C7" s="62">
        <v>172.5</v>
      </c>
      <c r="D7" s="63"/>
      <c r="E7" s="64">
        <v>172.5</v>
      </c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1:19" x14ac:dyDescent="0.2">
      <c r="A8" s="55"/>
      <c r="B8" s="56" t="s">
        <v>107</v>
      </c>
      <c r="C8" s="65"/>
      <c r="D8" s="66"/>
      <c r="E8" s="67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spans="1:19" x14ac:dyDescent="0.2">
      <c r="A9" s="55"/>
      <c r="B9" s="56" t="s">
        <v>97</v>
      </c>
      <c r="C9" s="65">
        <v>46</v>
      </c>
      <c r="D9" s="66"/>
      <c r="E9" s="67">
        <v>46</v>
      </c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x14ac:dyDescent="0.2">
      <c r="A10" s="55"/>
      <c r="B10" s="56" t="s">
        <v>98</v>
      </c>
      <c r="C10" s="65"/>
      <c r="D10" s="66"/>
      <c r="E10" s="67"/>
      <c r="F10"/>
      <c r="G10"/>
      <c r="H10"/>
      <c r="I10"/>
      <c r="J10"/>
      <c r="K10"/>
      <c r="L10"/>
      <c r="M10"/>
      <c r="N10"/>
      <c r="O10"/>
      <c r="P10"/>
      <c r="Q10"/>
      <c r="R10"/>
      <c r="S10"/>
    </row>
    <row r="11" spans="1:19" x14ac:dyDescent="0.2">
      <c r="A11" s="55"/>
      <c r="B11" s="56" t="s">
        <v>99</v>
      </c>
      <c r="C11" s="65"/>
      <c r="D11" s="66"/>
      <c r="E11" s="67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x14ac:dyDescent="0.2">
      <c r="A12" s="55"/>
      <c r="B12" s="56" t="s">
        <v>100</v>
      </c>
      <c r="C12" s="65"/>
      <c r="D12" s="66"/>
      <c r="E12" s="67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x14ac:dyDescent="0.2">
      <c r="A13" s="55"/>
      <c r="B13" s="56" t="s">
        <v>101</v>
      </c>
      <c r="C13" s="65"/>
      <c r="D13" s="66"/>
      <c r="E13" s="67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x14ac:dyDescent="0.2">
      <c r="A14" s="55"/>
      <c r="B14" s="56" t="s">
        <v>102</v>
      </c>
      <c r="C14" s="65">
        <v>32.78</v>
      </c>
      <c r="D14" s="66"/>
      <c r="E14" s="68">
        <v>32.78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x14ac:dyDescent="0.2">
      <c r="A15" s="55"/>
      <c r="B15" s="56" t="s">
        <v>103</v>
      </c>
      <c r="C15" s="65">
        <v>251.27999999999997</v>
      </c>
      <c r="D15" s="66"/>
      <c r="E15" s="67">
        <v>251.27999999999997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x14ac:dyDescent="0.2">
      <c r="A16" s="49" t="s">
        <v>23</v>
      </c>
      <c r="B16" s="49" t="s">
        <v>96</v>
      </c>
      <c r="C16" s="62"/>
      <c r="D16" s="63"/>
      <c r="E16" s="69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ht="14.25" customHeight="1" x14ac:dyDescent="0.2">
      <c r="A17" s="55"/>
      <c r="B17" s="56" t="s">
        <v>107</v>
      </c>
      <c r="C17" s="65">
        <v>275.13</v>
      </c>
      <c r="D17" s="66">
        <v>54.2</v>
      </c>
      <c r="E17" s="67">
        <v>329.33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">
      <c r="A18" s="55"/>
      <c r="B18" s="56" t="s">
        <v>97</v>
      </c>
      <c r="C18" s="65"/>
      <c r="D18" s="66"/>
      <c r="E18" s="67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">
      <c r="A19" s="55"/>
      <c r="B19" s="56" t="s">
        <v>98</v>
      </c>
      <c r="C19" s="65"/>
      <c r="D19" s="66"/>
      <c r="E19" s="67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">
      <c r="A20" s="55"/>
      <c r="B20" s="56" t="s">
        <v>99</v>
      </c>
      <c r="C20" s="65"/>
      <c r="D20" s="66"/>
      <c r="E20" s="67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">
      <c r="A21" s="55"/>
      <c r="B21" s="56" t="s">
        <v>100</v>
      </c>
      <c r="C21" s="65"/>
      <c r="D21" s="66"/>
      <c r="E21" s="67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">
      <c r="A22" s="55"/>
      <c r="B22" s="56" t="s">
        <v>101</v>
      </c>
      <c r="C22" s="65"/>
      <c r="D22" s="66"/>
      <c r="E22" s="67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">
      <c r="A23" s="55"/>
      <c r="B23" s="56" t="s">
        <v>102</v>
      </c>
      <c r="C23" s="65">
        <v>6.3400000000000007</v>
      </c>
      <c r="D23" s="66">
        <v>4.97</v>
      </c>
      <c r="E23" s="67">
        <v>11.31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">
      <c r="A24" s="55"/>
      <c r="B24" s="56" t="s">
        <v>103</v>
      </c>
      <c r="C24" s="65">
        <v>281.46999999999997</v>
      </c>
      <c r="D24" s="66">
        <v>59.17</v>
      </c>
      <c r="E24" s="67">
        <v>340.64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">
      <c r="A25" s="49" t="s">
        <v>79</v>
      </c>
      <c r="B25" s="50"/>
      <c r="C25" s="62">
        <v>172.5</v>
      </c>
      <c r="D25" s="63"/>
      <c r="E25" s="69">
        <v>172.5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">
      <c r="A26" s="49" t="s">
        <v>108</v>
      </c>
      <c r="B26" s="50"/>
      <c r="C26" s="62">
        <v>275.13</v>
      </c>
      <c r="D26" s="63">
        <v>54.2</v>
      </c>
      <c r="E26" s="69">
        <v>329.33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">
      <c r="A27" s="49" t="s">
        <v>11</v>
      </c>
      <c r="B27" s="50"/>
      <c r="C27" s="62">
        <v>46</v>
      </c>
      <c r="D27" s="63"/>
      <c r="E27" s="69">
        <v>46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">
      <c r="A28" s="49" t="s">
        <v>12</v>
      </c>
      <c r="B28" s="50"/>
      <c r="C28" s="62"/>
      <c r="D28" s="63"/>
      <c r="E28" s="69"/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">
      <c r="A29" s="49" t="s">
        <v>67</v>
      </c>
      <c r="B29" s="50"/>
      <c r="C29" s="62"/>
      <c r="D29" s="63"/>
      <c r="E29" s="69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">
      <c r="A30" s="49" t="s">
        <v>13</v>
      </c>
      <c r="B30" s="50"/>
      <c r="C30" s="62"/>
      <c r="D30" s="63"/>
      <c r="E30" s="69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">
      <c r="A31" s="49" t="s">
        <v>14</v>
      </c>
      <c r="B31" s="50"/>
      <c r="C31" s="62"/>
      <c r="D31" s="63"/>
      <c r="E31" s="69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">
      <c r="A32" s="49" t="s">
        <v>15</v>
      </c>
      <c r="B32" s="50"/>
      <c r="C32" s="70">
        <v>39.120000000000005</v>
      </c>
      <c r="D32" s="71">
        <v>4.97</v>
      </c>
      <c r="E32" s="69">
        <v>44.09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">
      <c r="A33" s="52" t="s">
        <v>104</v>
      </c>
      <c r="B33" s="53"/>
      <c r="C33" s="72">
        <v>532.75</v>
      </c>
      <c r="D33" s="73">
        <v>59.17</v>
      </c>
      <c r="E33" s="74">
        <v>591.91999999999996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9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9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9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9" ht="15" customHeigh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9" ht="15" customHeigh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9" hidden="1" x14ac:dyDescent="0.2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9" x14ac:dyDescent="0.2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9" x14ac:dyDescent="0.2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9" x14ac:dyDescent="0.2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9" x14ac:dyDescent="0.2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9" x14ac:dyDescent="0.2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9" x14ac:dyDescent="0.2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9" x14ac:dyDescent="0.2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9" x14ac:dyDescent="0.2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x14ac:dyDescent="0.2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x14ac:dyDescent="0.2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x14ac:dyDescent="0.2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x14ac:dyDescent="0.2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x14ac:dyDescent="0.2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 x14ac:dyDescent="0.2">
      <c r="A54"/>
      <c r="B54"/>
      <c r="C54"/>
      <c r="D54"/>
      <c r="E54"/>
      <c r="F54"/>
      <c r="G54"/>
      <c r="H54"/>
      <c r="I54"/>
      <c r="J54"/>
      <c r="K54"/>
      <c r="L54"/>
      <c r="M54"/>
    </row>
    <row r="55" spans="1:13" x14ac:dyDescent="0.2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3" x14ac:dyDescent="0.2">
      <c r="A56"/>
      <c r="B56"/>
      <c r="C56"/>
      <c r="D56"/>
      <c r="E56"/>
      <c r="F56"/>
    </row>
    <row r="57" spans="1:13" x14ac:dyDescent="0.2">
      <c r="A57"/>
      <c r="B57"/>
      <c r="C57"/>
      <c r="D57"/>
      <c r="E57"/>
      <c r="F57"/>
    </row>
    <row r="58" spans="1:13" x14ac:dyDescent="0.2">
      <c r="A58"/>
      <c r="B58"/>
      <c r="C58"/>
      <c r="D58"/>
      <c r="E58"/>
      <c r="F58"/>
    </row>
    <row r="59" spans="1:13" x14ac:dyDescent="0.2">
      <c r="A59"/>
      <c r="B59"/>
      <c r="C59"/>
      <c r="D59"/>
      <c r="E59"/>
      <c r="F59"/>
    </row>
    <row r="60" spans="1:13" x14ac:dyDescent="0.2">
      <c r="A60"/>
      <c r="B60"/>
      <c r="C60"/>
      <c r="D60"/>
      <c r="E60"/>
      <c r="F60"/>
    </row>
    <row r="61" spans="1:13" x14ac:dyDescent="0.2">
      <c r="A61"/>
      <c r="B61"/>
      <c r="F61"/>
    </row>
    <row r="62" spans="1:13" x14ac:dyDescent="0.2">
      <c r="A62"/>
      <c r="B62"/>
      <c r="F62"/>
    </row>
    <row r="63" spans="1:13" x14ac:dyDescent="0.2">
      <c r="A63"/>
      <c r="B63"/>
      <c r="F63"/>
    </row>
    <row r="64" spans="1:13" x14ac:dyDescent="0.2">
      <c r="A64"/>
      <c r="B64"/>
      <c r="F64"/>
    </row>
    <row r="65" spans="1:6" x14ac:dyDescent="0.2">
      <c r="A65"/>
      <c r="B65"/>
      <c r="F65"/>
    </row>
    <row r="66" spans="1:6" x14ac:dyDescent="0.2">
      <c r="A66"/>
      <c r="B66"/>
      <c r="F66"/>
    </row>
    <row r="67" spans="1:6" x14ac:dyDescent="0.2">
      <c r="A67"/>
      <c r="B67"/>
      <c r="F67"/>
    </row>
    <row r="68" spans="1:6" x14ac:dyDescent="0.2">
      <c r="A68"/>
      <c r="B68"/>
      <c r="F68"/>
    </row>
    <row r="69" spans="1:6" x14ac:dyDescent="0.2">
      <c r="A69"/>
      <c r="B69"/>
      <c r="F69"/>
    </row>
    <row r="70" spans="1:6" x14ac:dyDescent="0.2">
      <c r="A70"/>
      <c r="B70"/>
      <c r="F70"/>
    </row>
    <row r="71" spans="1:6" x14ac:dyDescent="0.2">
      <c r="A71"/>
      <c r="B71"/>
      <c r="F71"/>
    </row>
    <row r="72" spans="1:6" x14ac:dyDescent="0.2">
      <c r="A72"/>
      <c r="B72"/>
      <c r="F72"/>
    </row>
    <row r="73" spans="1:6" x14ac:dyDescent="0.2">
      <c r="A73"/>
      <c r="B73"/>
      <c r="F73"/>
    </row>
    <row r="74" spans="1:6" x14ac:dyDescent="0.2">
      <c r="A74"/>
      <c r="B74"/>
      <c r="F74"/>
    </row>
    <row r="75" spans="1:6" x14ac:dyDescent="0.2">
      <c r="A75"/>
      <c r="B75"/>
      <c r="F75"/>
    </row>
    <row r="76" spans="1:6" x14ac:dyDescent="0.2">
      <c r="A76"/>
      <c r="B76"/>
      <c r="F76"/>
    </row>
    <row r="77" spans="1:6" x14ac:dyDescent="0.2">
      <c r="A77"/>
      <c r="B77"/>
      <c r="F77"/>
    </row>
    <row r="78" spans="1:6" x14ac:dyDescent="0.2">
      <c r="A78"/>
      <c r="B78"/>
      <c r="F78"/>
    </row>
    <row r="79" spans="1:6" x14ac:dyDescent="0.2">
      <c r="A79"/>
      <c r="B79"/>
      <c r="F79"/>
    </row>
    <row r="80" spans="1:6" x14ac:dyDescent="0.2">
      <c r="A80"/>
      <c r="B80"/>
      <c r="F80"/>
    </row>
    <row r="81" spans="1:6" x14ac:dyDescent="0.2">
      <c r="A81"/>
      <c r="B81"/>
      <c r="F81"/>
    </row>
    <row r="82" spans="1:6" x14ac:dyDescent="0.2">
      <c r="A82"/>
      <c r="B82"/>
      <c r="F82"/>
    </row>
    <row r="83" spans="1:6" x14ac:dyDescent="0.2">
      <c r="A83"/>
      <c r="B83"/>
      <c r="F83"/>
    </row>
    <row r="84" spans="1:6" x14ac:dyDescent="0.2">
      <c r="A84"/>
      <c r="B84"/>
      <c r="F84"/>
    </row>
    <row r="85" spans="1:6" x14ac:dyDescent="0.2">
      <c r="A85"/>
      <c r="B85"/>
      <c r="F85"/>
    </row>
    <row r="86" spans="1:6" x14ac:dyDescent="0.2">
      <c r="A86"/>
      <c r="B86"/>
      <c r="F86"/>
    </row>
    <row r="87" spans="1:6" x14ac:dyDescent="0.2">
      <c r="A87"/>
      <c r="B87"/>
      <c r="F87"/>
    </row>
  </sheetData>
  <dataConsolidate link="1"/>
  <mergeCells count="2">
    <mergeCell ref="A1:F1"/>
    <mergeCell ref="A2:F2"/>
  </mergeCells>
  <phoneticPr fontId="6" type="noConversion"/>
  <pageMargins left="0.25" right="0.25" top="0.75" bottom="0.75" header="0.3" footer="0.3"/>
  <pageSetup paperSize="9" orientation="portrait" r:id="rId2"/>
  <headerFooter alignWithMargins="0">
    <oddHeader>&amp;LSHERATON LAVAL&amp;RMai 2024</oddHeader>
    <oddFooter>&amp;RMai 2024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F47"/>
  <sheetViews>
    <sheetView zoomScale="75" zoomScaleNormal="100" workbookViewId="0">
      <selection activeCell="D58" sqref="D58"/>
    </sheetView>
  </sheetViews>
  <sheetFormatPr baseColWidth="10" defaultColWidth="10.85546875" defaultRowHeight="12.75" x14ac:dyDescent="0.2"/>
  <cols>
    <col min="1" max="1" width="16.140625" customWidth="1"/>
    <col min="2" max="2" width="16.42578125" customWidth="1"/>
  </cols>
  <sheetData>
    <row r="1" spans="1:6" x14ac:dyDescent="0.2">
      <c r="A1" s="14" t="s">
        <v>58</v>
      </c>
      <c r="B1" t="s">
        <v>82</v>
      </c>
    </row>
    <row r="2" spans="1:6" x14ac:dyDescent="0.2">
      <c r="A2" s="9" t="s">
        <v>59</v>
      </c>
      <c r="B2" t="s">
        <v>64</v>
      </c>
      <c r="D2" s="11" t="s">
        <v>16</v>
      </c>
      <c r="F2" s="13" t="s">
        <v>78</v>
      </c>
    </row>
    <row r="3" spans="1:6" x14ac:dyDescent="0.2">
      <c r="A3" s="9" t="s">
        <v>47</v>
      </c>
      <c r="B3" t="s">
        <v>74</v>
      </c>
      <c r="D3" s="11" t="s">
        <v>17</v>
      </c>
      <c r="F3" s="13" t="s">
        <v>19</v>
      </c>
    </row>
    <row r="4" spans="1:6" x14ac:dyDescent="0.2">
      <c r="A4" s="9" t="s">
        <v>60</v>
      </c>
      <c r="B4" t="s">
        <v>65</v>
      </c>
      <c r="D4" s="11" t="s">
        <v>18</v>
      </c>
      <c r="F4" s="13" t="s">
        <v>20</v>
      </c>
    </row>
    <row r="5" spans="1:6" x14ac:dyDescent="0.2">
      <c r="A5" s="9" t="s">
        <v>61</v>
      </c>
      <c r="B5" t="s">
        <v>80</v>
      </c>
      <c r="D5" s="11" t="s">
        <v>48</v>
      </c>
      <c r="F5" s="13" t="s">
        <v>21</v>
      </c>
    </row>
    <row r="6" spans="1:6" x14ac:dyDescent="0.2">
      <c r="A6" s="9" t="s">
        <v>62</v>
      </c>
      <c r="B6" t="s">
        <v>68</v>
      </c>
      <c r="D6" s="11" t="s">
        <v>52</v>
      </c>
      <c r="F6" s="13" t="s">
        <v>22</v>
      </c>
    </row>
    <row r="7" spans="1:6" x14ac:dyDescent="0.2">
      <c r="A7" s="9" t="s">
        <v>63</v>
      </c>
      <c r="B7" s="17" t="s">
        <v>92</v>
      </c>
      <c r="F7" s="13" t="s">
        <v>69</v>
      </c>
    </row>
    <row r="8" spans="1:6" x14ac:dyDescent="0.2">
      <c r="A8" s="9" t="s">
        <v>56</v>
      </c>
      <c r="B8" t="s">
        <v>71</v>
      </c>
      <c r="F8" s="13" t="s">
        <v>23</v>
      </c>
    </row>
    <row r="9" spans="1:6" x14ac:dyDescent="0.2">
      <c r="A9" s="9" t="s">
        <v>75</v>
      </c>
      <c r="B9" t="s">
        <v>93</v>
      </c>
      <c r="F9" s="13"/>
    </row>
    <row r="10" spans="1:6" x14ac:dyDescent="0.2">
      <c r="A10" s="9" t="s">
        <v>77</v>
      </c>
      <c r="B10" s="17" t="s">
        <v>90</v>
      </c>
      <c r="F10" s="13"/>
    </row>
    <row r="11" spans="1:6" x14ac:dyDescent="0.2">
      <c r="A11" s="9" t="s">
        <v>76</v>
      </c>
      <c r="B11" s="31" t="s">
        <v>85</v>
      </c>
      <c r="F11" s="13"/>
    </row>
    <row r="12" spans="1:6" x14ac:dyDescent="0.2">
      <c r="A12" s="9" t="s">
        <v>72</v>
      </c>
      <c r="B12" t="s">
        <v>73</v>
      </c>
      <c r="F12" s="13"/>
    </row>
    <row r="13" spans="1:6" x14ac:dyDescent="0.2">
      <c r="A13" s="9" t="s">
        <v>49</v>
      </c>
      <c r="B13" t="s">
        <v>70</v>
      </c>
    </row>
    <row r="14" spans="1:6" x14ac:dyDescent="0.2">
      <c r="A14" s="9"/>
      <c r="B14" s="29" t="s">
        <v>81</v>
      </c>
    </row>
    <row r="15" spans="1:6" x14ac:dyDescent="0.2">
      <c r="A15" s="9"/>
      <c r="B15" s="17" t="s">
        <v>84</v>
      </c>
    </row>
    <row r="16" spans="1:6" x14ac:dyDescent="0.2">
      <c r="A16" s="9"/>
      <c r="B16" s="31" t="s">
        <v>86</v>
      </c>
    </row>
    <row r="17" spans="1:2" x14ac:dyDescent="0.2">
      <c r="A17" s="9"/>
      <c r="B17" s="31" t="s">
        <v>87</v>
      </c>
    </row>
    <row r="18" spans="1:2" x14ac:dyDescent="0.2">
      <c r="A18" s="9"/>
      <c r="B18" s="31" t="s">
        <v>88</v>
      </c>
    </row>
    <row r="19" spans="1:2" x14ac:dyDescent="0.2">
      <c r="A19" s="9"/>
      <c r="B19" s="31" t="s">
        <v>91</v>
      </c>
    </row>
    <row r="20" spans="1:2" x14ac:dyDescent="0.2">
      <c r="A20" s="9"/>
      <c r="B20" s="17" t="s">
        <v>89</v>
      </c>
    </row>
    <row r="21" spans="1:2" x14ac:dyDescent="0.2">
      <c r="A21" s="9"/>
      <c r="B21" s="17" t="s">
        <v>90</v>
      </c>
    </row>
    <row r="22" spans="1:2" x14ac:dyDescent="0.2">
      <c r="A22" s="9"/>
      <c r="B22" s="17" t="s">
        <v>95</v>
      </c>
    </row>
    <row r="23" spans="1:2" x14ac:dyDescent="0.2">
      <c r="A23" s="9"/>
      <c r="B23" s="17" t="s">
        <v>94</v>
      </c>
    </row>
    <row r="24" spans="1:2" x14ac:dyDescent="0.2">
      <c r="A24" s="9"/>
      <c r="B24" s="17"/>
    </row>
    <row r="25" spans="1:2" x14ac:dyDescent="0.2">
      <c r="A25" s="9"/>
      <c r="B25" s="16"/>
    </row>
    <row r="26" spans="1:2" x14ac:dyDescent="0.2">
      <c r="B26" s="29"/>
    </row>
    <row r="27" spans="1:2" x14ac:dyDescent="0.2">
      <c r="B27" s="17"/>
    </row>
    <row r="47" s="9" customFormat="1" ht="11.25" x14ac:dyDescent="0.2"/>
  </sheetData>
  <phoneticPr fontId="6" type="noConversion"/>
  <pageMargins left="0.78740157499999996" right="0.78740157499999996" top="0.984251969" bottom="0.984251969" header="0.4921259845" footer="0.4921259845"/>
  <pageSetup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22</vt:i4>
      </vt:variant>
    </vt:vector>
  </HeadingPairs>
  <TitlesOfParts>
    <vt:vector size="26" baseType="lpstr">
      <vt:lpstr>mensuel</vt:lpstr>
      <vt:lpstr>données</vt:lpstr>
      <vt:lpstr>Journalier</vt:lpstr>
      <vt:lpstr>Feuil1</vt:lpstr>
      <vt:lpstr>autorisation</vt:lpstr>
      <vt:lpstr>Base_de_donnees</vt:lpstr>
      <vt:lpstr>crit_banquet</vt:lpstr>
      <vt:lpstr>crit_cupola</vt:lpstr>
      <vt:lpstr>crit_Link</vt:lpstr>
      <vt:lpstr>crit_piazza</vt:lpstr>
      <vt:lpstr>crit_pmt14</vt:lpstr>
      <vt:lpstr>crit_pmt15</vt:lpstr>
      <vt:lpstr>crit_pmt17</vt:lpstr>
      <vt:lpstr>crit_pmt500</vt:lpstr>
      <vt:lpstr>crit_servch</vt:lpstr>
      <vt:lpstr>crit_tabagie</vt:lpstr>
      <vt:lpstr>grand_total</vt:lpstr>
      <vt:lpstr>données!Impression_des_titres</vt:lpstr>
      <vt:lpstr>ligne_vierge</vt:lpstr>
      <vt:lpstr>nameplace</vt:lpstr>
      <vt:lpstr>nom_area</vt:lpstr>
      <vt:lpstr>nom_paiement</vt:lpstr>
      <vt:lpstr>nomrepas</vt:lpstr>
      <vt:lpstr>données!Zone_d_impression</vt:lpstr>
      <vt:lpstr>Feuil1!Zone_d_impression</vt:lpstr>
      <vt:lpstr>Journalier!Zone_d_impression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Tessier</dc:creator>
  <cp:lastModifiedBy>Auditeur De Nuit</cp:lastModifiedBy>
  <cp:lastPrinted>2026-04-25T07:44:45Z</cp:lastPrinted>
  <dcterms:created xsi:type="dcterms:W3CDTF">2003-12-24T14:34:23Z</dcterms:created>
  <dcterms:modified xsi:type="dcterms:W3CDTF">2026-04-25T08:22:28Z</dcterms:modified>
</cp:coreProperties>
</file>