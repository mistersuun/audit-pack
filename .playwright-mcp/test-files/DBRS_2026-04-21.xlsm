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K:\DBRS\"/>
    </mc:Choice>
  </mc:AlternateContent>
  <xr:revisionPtr revIDLastSave="0" documentId="13_ncr:1_{111D0405-C7D1-46EE-947E-BC16DE6F30F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Explications" sheetId="5" r:id="rId1"/>
    <sheet name="DailyRev" sheetId="1" r:id="rId2"/>
    <sheet name="Market Segment" sheetId="2" r:id="rId3"/>
    <sheet name="DBRS" sheetId="3" r:id="rId4"/>
    <sheet name="DBRS Insertion" sheetId="4" r:id="rId5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7" i="3"/>
  <c r="B14" i="3"/>
  <c r="B69" i="3"/>
  <c r="B6" i="2"/>
  <c r="B92" i="2"/>
  <c r="B49" i="1"/>
  <c r="B42" i="1"/>
  <c r="B2" i="3"/>
  <c r="B2" i="4" s="1"/>
  <c r="B84" i="3" l="1"/>
  <c r="B84" i="4" s="1"/>
  <c r="B82" i="3"/>
  <c r="B82" i="4" s="1"/>
  <c r="B83" i="3"/>
  <c r="B83" i="4" s="1"/>
  <c r="B14" i="4"/>
  <c r="B89" i="3"/>
  <c r="B89" i="4" s="1"/>
  <c r="B20" i="3"/>
  <c r="B20" i="4" s="1"/>
  <c r="B16" i="3"/>
  <c r="B56" i="3"/>
  <c r="B56" i="4" s="1"/>
  <c r="B50" i="3"/>
  <c r="B50" i="4" s="1"/>
  <c r="B17" i="4"/>
  <c r="B49" i="2"/>
  <c r="B15" i="2"/>
  <c r="B61" i="3"/>
  <c r="B60" i="3" s="1"/>
  <c r="B81" i="2"/>
  <c r="B52" i="3"/>
  <c r="B22" i="3"/>
  <c r="B27" i="3"/>
  <c r="B30" i="3"/>
  <c r="B33" i="3"/>
  <c r="B36" i="3"/>
  <c r="B23" i="3"/>
  <c r="B55" i="3"/>
  <c r="B55" i="4" s="1"/>
  <c r="B58" i="3"/>
  <c r="B58" i="4" s="1"/>
  <c r="B7" i="3"/>
  <c r="B7" i="4" s="1"/>
  <c r="B81" i="3"/>
  <c r="B71" i="3"/>
  <c r="B49" i="3"/>
  <c r="B25" i="3"/>
  <c r="B19" i="3"/>
  <c r="B19" i="4" s="1"/>
  <c r="B10" i="3"/>
  <c r="B10" i="4" s="1"/>
  <c r="B69" i="4"/>
  <c r="B59" i="3"/>
  <c r="B59" i="4" s="1"/>
  <c r="B53" i="3"/>
  <c r="B53" i="4" s="1"/>
  <c r="B47" i="3"/>
  <c r="B47" i="4" s="1"/>
  <c r="B8" i="3"/>
  <c r="B8" i="4" s="1"/>
  <c r="B5" i="3"/>
  <c r="B5" i="4" s="1"/>
  <c r="B40" i="2"/>
  <c r="B75" i="4"/>
  <c r="B73" i="4"/>
  <c r="B64" i="4"/>
  <c r="B62" i="4"/>
  <c r="B34" i="4"/>
  <c r="B32" i="4"/>
  <c r="B28" i="4"/>
  <c r="B37" i="4"/>
  <c r="B35" i="4"/>
  <c r="B29" i="4"/>
  <c r="B26" i="4"/>
  <c r="B86" i="2"/>
  <c r="B77" i="2"/>
  <c r="B69" i="2"/>
  <c r="B66" i="2"/>
  <c r="B63" i="2"/>
  <c r="B56" i="2"/>
  <c r="B53" i="2"/>
  <c r="B46" i="2"/>
  <c r="B34" i="2"/>
  <c r="B30" i="2"/>
  <c r="B27" i="2"/>
  <c r="B19" i="2"/>
  <c r="B10" i="2"/>
  <c r="B74" i="3"/>
  <c r="B63" i="3"/>
  <c r="B31" i="4"/>
  <c r="B71" i="4" l="1"/>
  <c r="B81" i="4"/>
  <c r="B94" i="2"/>
  <c r="B24" i="3"/>
  <c r="B15" i="3"/>
  <c r="B4" i="3"/>
  <c r="B4" i="4" s="1"/>
  <c r="B51" i="3"/>
  <c r="B48" i="3"/>
  <c r="B21" i="3"/>
  <c r="B61" i="4"/>
  <c r="B54" i="3"/>
  <c r="B70" i="3"/>
  <c r="B57" i="3"/>
  <c r="B16" i="4"/>
  <c r="B52" i="4"/>
  <c r="B49" i="4"/>
  <c r="B9" i="3"/>
  <c r="B18" i="3"/>
  <c r="B65" i="3"/>
  <c r="B38" i="3"/>
  <c r="B23" i="4"/>
  <c r="B11" i="3"/>
  <c r="B67" i="3"/>
  <c r="B25" i="4"/>
  <c r="B6" i="3"/>
  <c r="B40" i="3"/>
  <c r="B22" i="4"/>
  <c r="B13" i="3" l="1"/>
  <c r="B12" i="3" s="1"/>
  <c r="B3" i="3"/>
  <c r="B44" i="3"/>
  <c r="B79" i="3" s="1"/>
  <c r="B66" i="3"/>
  <c r="B39" i="3"/>
  <c r="B42" i="3"/>
  <c r="B77" i="3" s="1"/>
  <c r="B78" i="3" l="1"/>
  <c r="B87" i="3"/>
  <c r="B86" i="3" s="1"/>
  <c r="B43" i="3"/>
</calcChain>
</file>

<file path=xl/sharedStrings.xml><?xml version="1.0" encoding="utf-8"?>
<sst xmlns="http://schemas.openxmlformats.org/spreadsheetml/2006/main" count="98" uniqueCount="97">
  <si>
    <t>Retail</t>
  </si>
  <si>
    <t>TOTAL PREMIUM</t>
  </si>
  <si>
    <t>TOTAL PREMIUM ADR</t>
  </si>
  <si>
    <t>TOTAL PREMIUM REVENUE</t>
  </si>
  <si>
    <t>Government</t>
  </si>
  <si>
    <t>Packages</t>
  </si>
  <si>
    <t>FIT/Wholesale</t>
  </si>
  <si>
    <t>Qualified Discounts</t>
  </si>
  <si>
    <t>TOTAL DISCOUNTS</t>
  </si>
  <si>
    <t>TOTAL DISCOUNT ADR</t>
  </si>
  <si>
    <t>TOTAL DISCOUNT REVENUE</t>
  </si>
  <si>
    <t>TOTAL TRANSIENT</t>
  </si>
  <si>
    <t>TOTAL ADR</t>
  </si>
  <si>
    <t>TOTAL REVENUE</t>
  </si>
  <si>
    <t>GROUPS</t>
  </si>
  <si>
    <t>CORPORATE</t>
  </si>
  <si>
    <t>ASSOCIATION</t>
  </si>
  <si>
    <t>GOVERNMENT</t>
  </si>
  <si>
    <t>SMERF</t>
  </si>
  <si>
    <t>TOUR &amp; TRAVEL</t>
  </si>
  <si>
    <t>OTHER</t>
  </si>
  <si>
    <t>TOTAL GROUP</t>
  </si>
  <si>
    <t>TOTAL GROUP ADR</t>
  </si>
  <si>
    <t>TOTAL GROUP REV</t>
  </si>
  <si>
    <t>CONTRACT T/O</t>
  </si>
  <si>
    <t>CONTRACT T/O ADR</t>
  </si>
  <si>
    <t>CONTRACT REVENUE</t>
  </si>
  <si>
    <t>PERM</t>
  </si>
  <si>
    <t>PERM  ADR</t>
  </si>
  <si>
    <t>PERM REVENUE</t>
  </si>
  <si>
    <t>DAILY PAID OCC RMS</t>
  </si>
  <si>
    <t>DAILY ADR</t>
  </si>
  <si>
    <t>DAILY REVENUE</t>
  </si>
  <si>
    <t>ALLOWANCE</t>
  </si>
  <si>
    <t>NO SHOWS</t>
  </si>
  <si>
    <t>EARLY DEP/LATE DEP</t>
  </si>
  <si>
    <t>TOTAL NET ADR</t>
  </si>
  <si>
    <t>TOTAL NET REVENUE</t>
  </si>
  <si>
    <t>Complimentary Rooms</t>
  </si>
  <si>
    <t>Grand Total du RJ</t>
  </si>
  <si>
    <t>EXPLICATIONS SUR L'UTILISATION DU FORMULAIRE ET DE LA PROCÉDURE DE COLLAGE DE L'INFORMATION DANS LE DBRS</t>
  </si>
  <si>
    <t>1.  Compléter les informations dans l'onglet "DailyRev" comme apparaissant dans le rapport "Daily Revenue" de la journée.</t>
  </si>
  <si>
    <t>2.  Compléter les informations dans l'onglet "Market Segment" comme apparaissant dans le rapport "Market Segment" de la journée.</t>
  </si>
  <si>
    <t>3.  Aller dans l'onglet "DBRS Insertion" et sélectionner les cellules B2 jusqu'à B89 inclusivement.</t>
  </si>
  <si>
    <t>4.  Appuyer sur les touches "Ctrl" et la lettre "C" du clavier simultanément.</t>
  </si>
  <si>
    <t>6.  Cliquer sur le bouton de droite de votre souris.</t>
  </si>
  <si>
    <r>
      <t>7.  Sélectionner "</t>
    </r>
    <r>
      <rPr>
        <b/>
        <sz val="11"/>
        <color theme="1"/>
        <rFont val="Calibri"/>
        <family val="2"/>
        <scheme val="minor"/>
      </rPr>
      <t>Collage Spécial…</t>
    </r>
    <r>
      <rPr>
        <sz val="11"/>
        <color theme="1"/>
        <rFont val="Calibri"/>
        <family val="2"/>
        <scheme val="minor"/>
      </rPr>
      <t>"</t>
    </r>
  </si>
  <si>
    <r>
      <t>8.  Une fenêtre ouvrira.  Vous devez sélectionner "</t>
    </r>
    <r>
      <rPr>
        <b/>
        <sz val="11"/>
        <color theme="1"/>
        <rFont val="Calibri"/>
        <family val="2"/>
        <scheme val="minor"/>
      </rPr>
      <t>Valeurs"</t>
    </r>
    <r>
      <rPr>
        <sz val="11"/>
        <color theme="1"/>
        <rFont val="Calibri"/>
        <family val="2"/>
        <scheme val="minor"/>
      </rPr>
      <t xml:space="preserve"> dans la section coller et "</t>
    </r>
    <r>
      <rPr>
        <b/>
        <sz val="11"/>
        <color theme="1"/>
        <rFont val="Calibri"/>
        <family val="2"/>
        <scheme val="minor"/>
      </rPr>
      <t xml:space="preserve">Blanc non compris" </t>
    </r>
    <r>
      <rPr>
        <sz val="11"/>
        <color theme="1"/>
        <rFont val="Calibri"/>
        <family val="2"/>
        <scheme val="minor"/>
      </rPr>
      <t>dans le bas puis cliquer sur le bouton "</t>
    </r>
    <r>
      <rPr>
        <b/>
        <sz val="11"/>
        <color theme="1"/>
        <rFont val="Calibri"/>
        <family val="2"/>
        <scheme val="minor"/>
      </rPr>
      <t>OK</t>
    </r>
    <r>
      <rPr>
        <sz val="11"/>
        <color theme="1"/>
        <rFont val="Calibri"/>
        <family val="2"/>
        <scheme val="minor"/>
      </rPr>
      <t>"</t>
    </r>
  </si>
  <si>
    <t xml:space="preserve">Special Corporate </t>
  </si>
  <si>
    <t>SPG / Marriot Rewards</t>
  </si>
  <si>
    <t xml:space="preserve"> </t>
  </si>
  <si>
    <t>Out of Order Rooms</t>
  </si>
  <si>
    <t>Room Chrg - Standard</t>
  </si>
  <si>
    <t>Room Chrg - eChannel</t>
  </si>
  <si>
    <t>Room Chrg - Wholesal</t>
  </si>
  <si>
    <t>Room Chrg - Govt./Mi</t>
  </si>
  <si>
    <t>Room Chrg - Packages</t>
  </si>
  <si>
    <t>Room Chrg - Premium</t>
  </si>
  <si>
    <t>Room Chrg - Special</t>
  </si>
  <si>
    <t>Room Chrg - Weekend</t>
  </si>
  <si>
    <t>Room Chrg - AAA</t>
  </si>
  <si>
    <t>Room Chrg - Advance</t>
  </si>
  <si>
    <t>Room Chrg - Senior D</t>
  </si>
  <si>
    <t>Room Chrg - Associat</t>
  </si>
  <si>
    <t>Rm Chrg - Reward Red</t>
  </si>
  <si>
    <t>Room Chrg - Other Di</t>
  </si>
  <si>
    <t>Room Chrg - Complime</t>
  </si>
  <si>
    <t>Room Chrg - GRP OTH</t>
  </si>
  <si>
    <t>Room Chrg - GRP - Co</t>
  </si>
  <si>
    <t>Room Chrg - GRP - As</t>
  </si>
  <si>
    <t>Room Chrg - GRP Tour</t>
  </si>
  <si>
    <t>Room Chrg - GRP - Go</t>
  </si>
  <si>
    <t>Room Charge OPEN</t>
  </si>
  <si>
    <t>Room Chrg - Contract</t>
  </si>
  <si>
    <t>Room Chrg Opaque</t>
  </si>
  <si>
    <t>Room Chrg SVO Tours</t>
  </si>
  <si>
    <t>Early Departure Fee</t>
  </si>
  <si>
    <t>Late Checkout Fee</t>
  </si>
  <si>
    <t>Reservation/Cancella</t>
  </si>
  <si>
    <t>Guaranteed No Show</t>
  </si>
  <si>
    <t>Day Use Room Charge</t>
  </si>
  <si>
    <t>Cancellation Fee-Tra</t>
  </si>
  <si>
    <t>Room Chrg - GRP Asso</t>
  </si>
  <si>
    <t>Resort Service Fee</t>
  </si>
  <si>
    <t>Package</t>
  </si>
  <si>
    <t>Room Charge HOLD FOR</t>
  </si>
  <si>
    <t>Other Room Charges</t>
  </si>
  <si>
    <t>Loyalty Redemption O</t>
  </si>
  <si>
    <t>Guaranteed No Show-C</t>
  </si>
  <si>
    <t>Attrition</t>
  </si>
  <si>
    <t>NA</t>
  </si>
  <si>
    <t>City/Local Tax</t>
  </si>
  <si>
    <t xml:space="preserve">Total </t>
  </si>
  <si>
    <t>Room Charge + Allowa</t>
  </si>
  <si>
    <t>VERIFICATION</t>
  </si>
  <si>
    <t xml:space="preserve">chambre au club (G4) </t>
  </si>
  <si>
    <r>
      <t>5.  Aller dans le fichier excel "</t>
    </r>
    <r>
      <rPr>
        <b/>
        <sz val="11"/>
        <color theme="1"/>
        <rFont val="Calibri"/>
        <family val="2"/>
        <scheme val="minor"/>
      </rPr>
      <t>2023 DBR MasterSheraton</t>
    </r>
    <r>
      <rPr>
        <sz val="11"/>
        <color theme="1"/>
        <rFont val="Calibri"/>
        <family val="2"/>
        <scheme val="minor"/>
      </rPr>
      <t>" à la première cellule de la date où vous désirez faire l'insertion.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</si>
</sst>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_ * #,##0.00_)\ &quot;$&quot;_ ;_ * \(#,##0.00\)\ &quot;$&quot;_ ;_ * &quot;-&quot;??_)\ &quot;$&quot;_ ;_ @_ "/>
    <numFmt numFmtId="165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2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Courier New"/>
      <family val="3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165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1" xfId="0" applyBorder="1"/>
    <xf numFmtId="0" fontId="0" fillId="0" borderId="2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165" fontId="0" fillId="0" borderId="5" xfId="0" applyNumberFormat="1" applyBorder="1"/>
    <xf numFmtId="165" fontId="0" fillId="0" borderId="6" xfId="0" applyNumberFormat="1" applyBorder="1"/>
    <xf numFmtId="0" fontId="0" fillId="0" borderId="5" xfId="0" applyBorder="1"/>
    <xf numFmtId="0" fontId="0" fillId="0" borderId="6" xfId="0" applyBorder="1"/>
    <xf numFmtId="165" fontId="0" fillId="0" borderId="7" xfId="0" applyNumberFormat="1" applyBorder="1"/>
    <xf numFmtId="0" fontId="2" fillId="0" borderId="4" xfId="0" applyFont="1" applyBorder="1"/>
    <xf numFmtId="0" fontId="2" fillId="0" borderId="5" xfId="0" applyFont="1" applyBorder="1"/>
    <xf numFmtId="165" fontId="2" fillId="0" borderId="6" xfId="0" applyNumberFormat="1" applyFont="1" applyBorder="1"/>
    <xf numFmtId="0" fontId="2" fillId="2" borderId="1" xfId="0" applyFont="1" applyFill="1" applyBorder="1"/>
    <xf numFmtId="165" fontId="2" fillId="2" borderId="2" xfId="0" applyNumberFormat="1" applyFont="1" applyFill="1" applyBorder="1"/>
    <xf numFmtId="165" fontId="2" fillId="2" borderId="3" xfId="0" applyNumberFormat="1" applyFont="1" applyFill="1" applyBorder="1"/>
    <xf numFmtId="0" fontId="0" fillId="0" borderId="8" xfId="0" applyBorder="1"/>
    <xf numFmtId="0" fontId="3" fillId="0" borderId="5" xfId="0" applyFont="1" applyBorder="1"/>
    <xf numFmtId="165" fontId="3" fillId="0" borderId="5" xfId="0" applyNumberFormat="1" applyFont="1" applyBorder="1"/>
    <xf numFmtId="165" fontId="3" fillId="0" borderId="6" xfId="0" applyNumberFormat="1" applyFont="1" applyBorder="1"/>
    <xf numFmtId="165" fontId="2" fillId="0" borderId="0" xfId="0" applyNumberFormat="1" applyFont="1"/>
    <xf numFmtId="165" fontId="2" fillId="2" borderId="1" xfId="0" applyNumberFormat="1" applyFont="1" applyFill="1" applyBorder="1"/>
    <xf numFmtId="165" fontId="2" fillId="0" borderId="9" xfId="0" applyNumberFormat="1" applyFont="1" applyBorder="1"/>
    <xf numFmtId="165" fontId="2" fillId="0" borderId="10" xfId="0" applyNumberFormat="1" applyFont="1" applyBorder="1"/>
    <xf numFmtId="0" fontId="4" fillId="0" borderId="1" xfId="0" applyFont="1" applyBorder="1" applyAlignment="1" applyProtection="1">
      <alignment horizontal="center"/>
      <protection locked="0"/>
    </xf>
    <xf numFmtId="165" fontId="0" fillId="0" borderId="2" xfId="0" applyNumberFormat="1" applyBorder="1" applyAlignment="1">
      <alignment horizontal="center"/>
    </xf>
    <xf numFmtId="165" fontId="4" fillId="0" borderId="3" xfId="0" applyNumberFormat="1" applyFont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165" fontId="2" fillId="2" borderId="2" xfId="0" applyNumberFormat="1" applyFont="1" applyFill="1" applyBorder="1" applyAlignment="1">
      <alignment horizontal="center"/>
    </xf>
    <xf numFmtId="6" fontId="2" fillId="2" borderId="2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6" fontId="2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2" fillId="2" borderId="2" xfId="0" applyNumberFormat="1" applyFont="1" applyFill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13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6" fillId="0" borderId="15" xfId="0" applyFont="1" applyBorder="1"/>
    <xf numFmtId="0" fontId="7" fillId="0" borderId="15" xfId="0" applyFont="1" applyBorder="1"/>
    <xf numFmtId="0" fontId="8" fillId="0" borderId="0" xfId="0" applyFont="1"/>
    <xf numFmtId="2" fontId="0" fillId="0" borderId="0" xfId="0" applyNumberFormat="1"/>
    <xf numFmtId="2" fontId="0" fillId="3" borderId="0" xfId="0" applyNumberFormat="1" applyFill="1"/>
    <xf numFmtId="2" fontId="9" fillId="0" borderId="15" xfId="0" applyNumberFormat="1" applyFont="1" applyBorder="1"/>
    <xf numFmtId="0" fontId="8" fillId="0" borderId="0" xfId="0" applyFont="1" applyAlignment="1">
      <alignment horizontal="left" vertical="center" readingOrder="1"/>
    </xf>
    <xf numFmtId="0" fontId="12" fillId="0" borderId="15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276224</xdr:colOff>
      <xdr:row>11</xdr:row>
      <xdr:rowOff>123824</xdr:rowOff>
    </xdr:from>
    <xdr:to>
      <xdr:col>6</xdr:col>
      <xdr:colOff>295275</xdr:colOff>
      <xdr:row>36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847" t="35338" r="54459" b="17990"/>
        <a:stretch/>
      </xdr:blipFill>
      <xdr:spPr>
        <a:xfrm>
          <a:off x="276224" y="2219324"/>
          <a:ext cx="4591051" cy="4667251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476250</xdr:colOff>
      <xdr:row>12</xdr:row>
      <xdr:rowOff>190499</xdr:rowOff>
    </xdr:from>
    <xdr:to>
      <xdr:col>14</xdr:col>
      <xdr:colOff>180975</xdr:colOff>
      <xdr:row>29</xdr:row>
      <xdr:rowOff>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1669" t="56483" r="42076" b="13037"/>
        <a:stretch/>
      </xdr:blipFill>
      <xdr:spPr>
        <a:xfrm>
          <a:off x="5048250" y="2476499"/>
          <a:ext cx="5800725" cy="30480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9" name="AutoShape 213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0" y="10477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11" name="AutoShape 212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0" y="13525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41</xdr:row>
      <xdr:rowOff>0</xdr:rowOff>
    </xdr:from>
    <xdr:ext cx="104775" cy="209550"/>
    <xdr:sp macro="" textlink="">
      <xdr:nvSpPr>
        <xdr:cNvPr id="54" name="AutoShape 179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Arrowheads="1"/>
        </xdr:cNvSpPr>
      </xdr:nvSpPr>
      <xdr:spPr bwMode="auto">
        <a:xfrm>
          <a:off x="0" y="79057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2" name="AutoShape 1756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247775" cy="209550"/>
    <xdr:sp macro="" textlink="">
      <xdr:nvSpPr>
        <xdr:cNvPr id="63" name="AutoShape 1755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343025" cy="209550"/>
    <xdr:sp macro="" textlink="">
      <xdr:nvSpPr>
        <xdr:cNvPr id="64" name="AutoShape 175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771525" cy="209550"/>
    <xdr:sp macro="" textlink="">
      <xdr:nvSpPr>
        <xdr:cNvPr id="65" name="AutoShape 175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819275" cy="209550"/>
    <xdr:sp macro="" textlink="">
      <xdr:nvSpPr>
        <xdr:cNvPr id="66" name="AutoShape 1749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57275" cy="209550"/>
    <xdr:sp macro="" textlink="">
      <xdr:nvSpPr>
        <xdr:cNvPr id="67" name="AutoShape 1748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0" y="198786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8" name="AutoShape 1740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95250" y="20335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Valet   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9" name="AutoShape 1732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250" y="204882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Innvue  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0" name="AutoShape 1724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95250" y="20640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Location De Boutique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1" name="AutoShape 171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95250" y="20793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Lit Pliant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2" name="AutoShape 1708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95250" y="209454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Fax &amp; Photocopies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3" name="AutoShape 1700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95250" y="21097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Machines Distributri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4" name="AutoShape 1692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95250" y="212502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Revenus Taxab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5" name="AutoShape 168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Arrowheads="1"/>
        </xdr:cNvSpPr>
      </xdr:nvSpPr>
      <xdr:spPr bwMode="auto">
        <a:xfrm>
          <a:off x="95250" y="21402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Services Bagages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6" name="AutoShape 167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Arrowheads="1"/>
        </xdr:cNvSpPr>
      </xdr:nvSpPr>
      <xdr:spPr bwMode="auto">
        <a:xfrm>
          <a:off x="95250" y="21555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DO NOT USE (GuestTek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7" name="AutoShape 1668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Arrowheads="1"/>
        </xdr:cNvSpPr>
      </xdr:nvSpPr>
      <xdr:spPr bwMode="auto">
        <a:xfrm>
          <a:off x="95250" y="217074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 A Payer Taxabl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8" name="AutoShape 1660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Arrowheads="1"/>
        </xdr:cNvSpPr>
      </xdr:nvSpPr>
      <xdr:spPr bwMode="auto">
        <a:xfrm>
          <a:off x="95250" y="21859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Massage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87" name="AutoShape 1588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Arrowheads="1"/>
        </xdr:cNvSpPr>
      </xdr:nvSpPr>
      <xdr:spPr bwMode="auto">
        <a:xfrm>
          <a:off x="0" y="232314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771525" cy="209550"/>
    <xdr:sp macro="" textlink="">
      <xdr:nvSpPr>
        <xdr:cNvPr id="88" name="AutoShape 1580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Arrowheads="1"/>
        </xdr:cNvSpPr>
      </xdr:nvSpPr>
      <xdr:spPr bwMode="auto">
        <a:xfrm>
          <a:off x="0" y="233838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Internet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89" name="AutoShape 1579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Arrowheads="1"/>
        </xdr:cNvSpPr>
      </xdr:nvSpPr>
      <xdr:spPr bwMode="auto">
        <a:xfrm>
          <a:off x="0" y="235362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91" name="AutoShape 157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Arrowheads="1"/>
        </xdr:cNvSpPr>
      </xdr:nvSpPr>
      <xdr:spPr bwMode="auto">
        <a:xfrm>
          <a:off x="0" y="238410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93" name="AutoShape 1561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Arrowheads="1"/>
        </xdr:cNvSpPr>
      </xdr:nvSpPr>
      <xdr:spPr bwMode="auto">
        <a:xfrm>
          <a:off x="0" y="241458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99" name="AutoShape 1520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Arrowheads="1"/>
        </xdr:cNvSpPr>
      </xdr:nvSpPr>
      <xdr:spPr bwMode="auto">
        <a:xfrm>
          <a:off x="0" y="250602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0" name="AutoShape 1512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Arrowheads="1"/>
        </xdr:cNvSpPr>
      </xdr:nvSpPr>
      <xdr:spPr bwMode="auto">
        <a:xfrm>
          <a:off x="0" y="252126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GiveX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1" name="AutoShape 1511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Arrowheads="1"/>
        </xdr:cNvSpPr>
      </xdr:nvSpPr>
      <xdr:spPr bwMode="auto">
        <a:xfrm>
          <a:off x="0" y="253650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3" name="AutoShape 15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Arrowheads="1"/>
        </xdr:cNvSpPr>
      </xdr:nvSpPr>
      <xdr:spPr bwMode="auto">
        <a:xfrm>
          <a:off x="0" y="256698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5" name="AutoShape 1493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Arrowheads="1"/>
        </xdr:cNvSpPr>
      </xdr:nvSpPr>
      <xdr:spPr bwMode="auto">
        <a:xfrm>
          <a:off x="0" y="259746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7" name="AutoShape 1484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Arrowheads="1"/>
        </xdr:cNvSpPr>
      </xdr:nvSpPr>
      <xdr:spPr bwMode="auto">
        <a:xfrm>
          <a:off x="0" y="262794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9" name="AutoShape 1475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rrowheads="1"/>
        </xdr:cNvSpPr>
      </xdr:nvSpPr>
      <xdr:spPr bwMode="auto">
        <a:xfrm>
          <a:off x="0" y="265842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11" name="AutoShape 1466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Arrowheads="1"/>
        </xdr:cNvSpPr>
      </xdr:nvSpPr>
      <xdr:spPr bwMode="auto">
        <a:xfrm>
          <a:off x="0" y="268890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13" name="AutoShape 1449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Arrowheads="1"/>
        </xdr:cNvSpPr>
      </xdr:nvSpPr>
      <xdr:spPr bwMode="auto">
        <a:xfrm>
          <a:off x="0" y="274986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15" name="AutoShape 1447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Arrowheads="1"/>
        </xdr:cNvSpPr>
      </xdr:nvSpPr>
      <xdr:spPr bwMode="auto">
        <a:xfrm>
          <a:off x="0" y="278034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118" name="AutoShape 1430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Arrowheads="1"/>
        </xdr:cNvSpPr>
      </xdr:nvSpPr>
      <xdr:spPr bwMode="auto">
        <a:xfrm>
          <a:off x="95250" y="28260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fr-CA" sz="12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19" name="AutoShape 1422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>
          <a:spLocks noChangeArrowheads="1"/>
        </xdr:cNvSpPr>
      </xdr:nvSpPr>
      <xdr:spPr bwMode="auto">
        <a:xfrm>
          <a:off x="0" y="3855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120" name="AutoShape 1421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>
          <a:spLocks noChangeArrowheads="1"/>
        </xdr:cNvSpPr>
      </xdr:nvSpPr>
      <xdr:spPr bwMode="auto">
        <a:xfrm>
          <a:off x="0" y="385572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121" name="AutoShape 1419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>
          <a:spLocks noChangeArrowheads="1"/>
        </xdr:cNvSpPr>
      </xdr:nvSpPr>
      <xdr:spPr bwMode="auto">
        <a:xfrm>
          <a:off x="0" y="3870960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122" name="AutoShape 1416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>
          <a:spLocks noChangeArrowheads="1"/>
        </xdr:cNvSpPr>
      </xdr:nvSpPr>
      <xdr:spPr bwMode="auto">
        <a:xfrm>
          <a:off x="0" y="388620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123" name="AutoShape 1415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>
          <a:spLocks noChangeArrowheads="1"/>
        </xdr:cNvSpPr>
      </xdr:nvSpPr>
      <xdr:spPr bwMode="auto">
        <a:xfrm>
          <a:off x="0" y="3886200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24" name="AutoShape 1414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>
          <a:spLocks noChangeArrowheads="1"/>
        </xdr:cNvSpPr>
      </xdr:nvSpPr>
      <xdr:spPr bwMode="auto">
        <a:xfrm>
          <a:off x="0" y="391668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5" name="AutoShape 1406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>
          <a:spLocks noChangeArrowheads="1"/>
        </xdr:cNvSpPr>
      </xdr:nvSpPr>
      <xdr:spPr bwMode="auto">
        <a:xfrm>
          <a:off x="95250" y="3962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#1019892413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6" name="AutoShape 1398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>
          <a:spLocks noChangeArrowheads="1"/>
        </xdr:cNvSpPr>
      </xdr:nvSpPr>
      <xdr:spPr bwMode="auto">
        <a:xfrm>
          <a:off x="95250" y="3977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Occupancy/Tourism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7" name="AutoShape 1390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>
          <a:spLocks noChangeArrowheads="1"/>
        </xdr:cNvSpPr>
      </xdr:nvSpPr>
      <xdr:spPr bwMode="auto">
        <a:xfrm>
          <a:off x="95250" y="3992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Exempt Rooms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8" name="AutoShape 1382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>
          <a:spLocks noChangeArrowheads="1"/>
        </xdr:cNvSpPr>
      </xdr:nvSpPr>
      <xdr:spPr bwMode="auto">
        <a:xfrm>
          <a:off x="95250" y="40081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Other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9" name="AutoShape 1374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>
          <a:spLocks noChangeArrowheads="1"/>
        </xdr:cNvSpPr>
      </xdr:nvSpPr>
      <xdr:spPr bwMode="auto">
        <a:xfrm>
          <a:off x="95250" y="40233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Other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0" name="AutoShape 1366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>
          <a:spLocks noChangeArrowheads="1"/>
        </xdr:cNvSpPr>
      </xdr:nvSpPr>
      <xdr:spPr bwMode="auto">
        <a:xfrm>
          <a:off x="95250" y="40386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Occupancy/Tourism Ta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1" name="AutoShape 135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>
          <a:spLocks noChangeArrowheads="1"/>
        </xdr:cNvSpPr>
      </xdr:nvSpPr>
      <xdr:spPr bwMode="auto">
        <a:xfrm>
          <a:off x="95250" y="40538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Discounts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32" name="AutoShape 1350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>
          <a:spLocks noChangeArrowheads="1"/>
        </xdr:cNvSpPr>
      </xdr:nvSpPr>
      <xdr:spPr bwMode="auto">
        <a:xfrm>
          <a:off x="0" y="406908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33" name="AutoShape 134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>
          <a:spLocks noChangeArrowheads="1"/>
        </xdr:cNvSpPr>
      </xdr:nvSpPr>
      <xdr:spPr bwMode="auto">
        <a:xfrm>
          <a:off x="0" y="408432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Club Lounge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34" name="AutoShape 1341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>
          <a:spLocks noChangeArrowheads="1"/>
        </xdr:cNvSpPr>
      </xdr:nvSpPr>
      <xdr:spPr bwMode="auto">
        <a:xfrm>
          <a:off x="0" y="409956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5" name="AutoShape 1340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>
          <a:spLocks noChangeArrowheads="1"/>
        </xdr:cNvSpPr>
      </xdr:nvSpPr>
      <xdr:spPr bwMode="auto">
        <a:xfrm>
          <a:off x="95250" y="41148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Lounge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6" name="AutoShape 1332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>
          <a:spLocks noChangeArrowheads="1"/>
        </xdr:cNvSpPr>
      </xdr:nvSpPr>
      <xdr:spPr bwMode="auto">
        <a:xfrm>
          <a:off x="95250" y="41300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Lounge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7" name="AutoShape 1324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>
          <a:spLocks noChangeArrowheads="1"/>
        </xdr:cNvSpPr>
      </xdr:nvSpPr>
      <xdr:spPr bwMode="auto">
        <a:xfrm>
          <a:off x="95250" y="41452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Lounge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8" name="AutoShape 1316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>
          <a:spLocks noChangeArrowheads="1"/>
        </xdr:cNvSpPr>
      </xdr:nvSpPr>
      <xdr:spPr bwMode="auto">
        <a:xfrm>
          <a:off x="95250" y="41605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Lounge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9" name="AutoShape 130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>
          <a:spLocks noChangeArrowheads="1"/>
        </xdr:cNvSpPr>
      </xdr:nvSpPr>
      <xdr:spPr bwMode="auto">
        <a:xfrm>
          <a:off x="95250" y="41757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0" name="AutoShape 1300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Arrowheads="1"/>
        </xdr:cNvSpPr>
      </xdr:nvSpPr>
      <xdr:spPr bwMode="auto">
        <a:xfrm>
          <a:off x="95250" y="41910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Lounge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1" name="AutoShape 1292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>
          <a:spLocks noChangeArrowheads="1"/>
        </xdr:cNvSpPr>
      </xdr:nvSpPr>
      <xdr:spPr bwMode="auto">
        <a:xfrm>
          <a:off x="95250" y="42062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2" name="AutoShape 1284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>
          <a:spLocks noChangeArrowheads="1"/>
        </xdr:cNvSpPr>
      </xdr:nvSpPr>
      <xdr:spPr bwMode="auto">
        <a:xfrm>
          <a:off x="95250" y="42214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Lounge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3" name="AutoShape 1276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>
          <a:spLocks noChangeArrowheads="1"/>
        </xdr:cNvSpPr>
      </xdr:nvSpPr>
      <xdr:spPr bwMode="auto">
        <a:xfrm>
          <a:off x="95250" y="4236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4" name="AutoShape 1268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>
          <a:spLocks noChangeArrowheads="1"/>
        </xdr:cNvSpPr>
      </xdr:nvSpPr>
      <xdr:spPr bwMode="auto">
        <a:xfrm>
          <a:off x="95250" y="42519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45" name="AutoShape 1260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>
          <a:spLocks noChangeArrowheads="1"/>
        </xdr:cNvSpPr>
      </xdr:nvSpPr>
      <xdr:spPr bwMode="auto">
        <a:xfrm>
          <a:off x="0" y="426720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866775" cy="209550"/>
    <xdr:sp macro="" textlink="">
      <xdr:nvSpPr>
        <xdr:cNvPr id="146" name="AutoShape 1252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>
          <a:spLocks noChangeArrowheads="1"/>
        </xdr:cNvSpPr>
      </xdr:nvSpPr>
      <xdr:spPr bwMode="auto">
        <a:xfrm>
          <a:off x="0" y="42824400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 Link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47" name="AutoShape 1251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>
          <a:spLocks noChangeArrowheads="1"/>
        </xdr:cNvSpPr>
      </xdr:nvSpPr>
      <xdr:spPr bwMode="auto">
        <a:xfrm>
          <a:off x="0" y="429768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8" name="AutoShape 1250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>
          <a:spLocks noChangeArrowheads="1"/>
        </xdr:cNvSpPr>
      </xdr:nvSpPr>
      <xdr:spPr bwMode="auto">
        <a:xfrm>
          <a:off x="95250" y="43129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 Link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9" name="AutoShape 1242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>
          <a:spLocks noChangeArrowheads="1"/>
        </xdr:cNvSpPr>
      </xdr:nvSpPr>
      <xdr:spPr bwMode="auto">
        <a:xfrm>
          <a:off x="95250" y="43281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Cafe Link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0" name="AutoShape 1234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>
          <a:spLocks noChangeArrowheads="1"/>
        </xdr:cNvSpPr>
      </xdr:nvSpPr>
      <xdr:spPr bwMode="auto">
        <a:xfrm>
          <a:off x="95250" y="4343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Cafe Link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1" name="AutoShape 1226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>
          <a:spLocks noChangeArrowheads="1"/>
        </xdr:cNvSpPr>
      </xdr:nvSpPr>
      <xdr:spPr bwMode="auto">
        <a:xfrm>
          <a:off x="95250" y="4358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Cafe Link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2" name="AutoShape 1218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Arrowheads="1"/>
        </xdr:cNvSpPr>
      </xdr:nvSpPr>
      <xdr:spPr bwMode="auto">
        <a:xfrm>
          <a:off x="95250" y="4373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3" name="AutoShape 1210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rrowheads="1"/>
        </xdr:cNvSpPr>
      </xdr:nvSpPr>
      <xdr:spPr bwMode="auto">
        <a:xfrm>
          <a:off x="95250" y="43891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Cafe Link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4" name="AutoShape 1202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>
          <a:spLocks noChangeArrowheads="1"/>
        </xdr:cNvSpPr>
      </xdr:nvSpPr>
      <xdr:spPr bwMode="auto">
        <a:xfrm>
          <a:off x="95250" y="44043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 Link Pourb/Frai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5" name="AutoShape 119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>
          <a:spLocks noChangeArrowheads="1"/>
        </xdr:cNvSpPr>
      </xdr:nvSpPr>
      <xdr:spPr bwMode="auto">
        <a:xfrm>
          <a:off x="95250" y="44196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Gratuite Cafe Link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6" name="AutoShape 1186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>
          <a:spLocks noChangeArrowheads="1"/>
        </xdr:cNvSpPr>
      </xdr:nvSpPr>
      <xdr:spPr bwMode="auto">
        <a:xfrm>
          <a:off x="95250" y="44348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7" name="AutoShape 1178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rrowheads="1"/>
        </xdr:cNvSpPr>
      </xdr:nvSpPr>
      <xdr:spPr bwMode="auto">
        <a:xfrm>
          <a:off x="95250" y="44500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58" name="AutoShape 1170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>
          <a:spLocks noChangeArrowheads="1"/>
        </xdr:cNvSpPr>
      </xdr:nvSpPr>
      <xdr:spPr bwMode="auto">
        <a:xfrm>
          <a:off x="0" y="446532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628775" cy="209550"/>
    <xdr:sp macro="" textlink="">
      <xdr:nvSpPr>
        <xdr:cNvPr id="159" name="AutoShape 1162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>
          <a:spLocks noChangeArrowheads="1"/>
        </xdr:cNvSpPr>
      </xdr:nvSpPr>
      <xdr:spPr bwMode="auto">
        <a:xfrm>
          <a:off x="0" y="448056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 Piazza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60" name="AutoShape 1161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>
          <a:spLocks noChangeArrowheads="1"/>
        </xdr:cNvSpPr>
      </xdr:nvSpPr>
      <xdr:spPr bwMode="auto">
        <a:xfrm>
          <a:off x="0" y="449580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1" name="AutoShape 1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>
          <a:spLocks noChangeArrowheads="1"/>
        </xdr:cNvSpPr>
      </xdr:nvSpPr>
      <xdr:spPr bwMode="auto">
        <a:xfrm>
          <a:off x="95250" y="45110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Piazza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2" name="AutoShape 1152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>
          <a:spLocks noChangeArrowheads="1"/>
        </xdr:cNvSpPr>
      </xdr:nvSpPr>
      <xdr:spPr bwMode="auto">
        <a:xfrm>
          <a:off x="95250" y="45262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Rest Piazza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3" name="AutoShape 1144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>
          <a:spLocks noChangeArrowheads="1"/>
        </xdr:cNvSpPr>
      </xdr:nvSpPr>
      <xdr:spPr bwMode="auto">
        <a:xfrm>
          <a:off x="95250" y="45415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Rest Piazza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4" name="AutoShape 1136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>
          <a:spLocks noChangeArrowheads="1"/>
        </xdr:cNvSpPr>
      </xdr:nvSpPr>
      <xdr:spPr bwMode="auto">
        <a:xfrm>
          <a:off x="95250" y="45567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 Rest Piazza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5" name="AutoShape 1128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>
          <a:spLocks noChangeArrowheads="1"/>
        </xdr:cNvSpPr>
      </xdr:nvSpPr>
      <xdr:spPr bwMode="auto">
        <a:xfrm>
          <a:off x="95250" y="45720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6" name="AutoShape 1120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>
          <a:spLocks noChangeArrowheads="1"/>
        </xdr:cNvSpPr>
      </xdr:nvSpPr>
      <xdr:spPr bwMode="auto">
        <a:xfrm>
          <a:off x="95250" y="45872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Rest Piazza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7" name="AutoShape 1112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>
          <a:spLocks noChangeArrowheads="1"/>
        </xdr:cNvSpPr>
      </xdr:nvSpPr>
      <xdr:spPr bwMode="auto">
        <a:xfrm>
          <a:off x="95250" y="46024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8" name="AutoShape 1104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>
          <a:spLocks noChangeArrowheads="1"/>
        </xdr:cNvSpPr>
      </xdr:nvSpPr>
      <xdr:spPr bwMode="auto">
        <a:xfrm>
          <a:off x="95250" y="4617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Rest Piazz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9" name="AutoShape 1096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>
          <a:spLocks noChangeArrowheads="1"/>
        </xdr:cNvSpPr>
      </xdr:nvSpPr>
      <xdr:spPr bwMode="auto">
        <a:xfrm>
          <a:off x="95250" y="46329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0" name="AutoShape 1088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>
          <a:spLocks noChangeArrowheads="1"/>
        </xdr:cNvSpPr>
      </xdr:nvSpPr>
      <xdr:spPr bwMode="auto">
        <a:xfrm>
          <a:off x="95250" y="46482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71" name="AutoShape 108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>
          <a:spLocks noChangeArrowheads="1"/>
        </xdr:cNvSpPr>
      </xdr:nvSpPr>
      <xdr:spPr bwMode="auto">
        <a:xfrm>
          <a:off x="0" y="466344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172" name="AutoShape 1072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>
          <a:spLocks noChangeArrowheads="1"/>
        </xdr:cNvSpPr>
      </xdr:nvSpPr>
      <xdr:spPr bwMode="auto">
        <a:xfrm>
          <a:off x="0" y="46786800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Bar Cupola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73" name="AutoShape 1071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>
          <a:spLocks noChangeArrowheads="1"/>
        </xdr:cNvSpPr>
      </xdr:nvSpPr>
      <xdr:spPr bwMode="auto">
        <a:xfrm>
          <a:off x="0" y="469392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4" name="AutoShape 1070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>
          <a:spLocks noChangeArrowheads="1"/>
        </xdr:cNvSpPr>
      </xdr:nvSpPr>
      <xdr:spPr bwMode="auto">
        <a:xfrm>
          <a:off x="95250" y="47091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Bar Cupola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5" name="AutoShape 1062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>
          <a:spLocks noChangeArrowheads="1"/>
        </xdr:cNvSpPr>
      </xdr:nvSpPr>
      <xdr:spPr bwMode="auto">
        <a:xfrm>
          <a:off x="95250" y="4724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Bar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6" name="AutoShape 1054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>
          <a:spLocks noChangeArrowheads="1"/>
        </xdr:cNvSpPr>
      </xdr:nvSpPr>
      <xdr:spPr bwMode="auto">
        <a:xfrm>
          <a:off x="95250" y="4739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Bar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7" name="AutoShape 104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>
          <a:spLocks noChangeArrowheads="1"/>
        </xdr:cNvSpPr>
      </xdr:nvSpPr>
      <xdr:spPr bwMode="auto">
        <a:xfrm>
          <a:off x="95250" y="4754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Bar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8" name="AutoShape 103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>
          <a:spLocks noChangeArrowheads="1"/>
        </xdr:cNvSpPr>
      </xdr:nvSpPr>
      <xdr:spPr bwMode="auto">
        <a:xfrm>
          <a:off x="0" y="57845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179" name="AutoShape 1037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>
          <a:spLocks noChangeArrowheads="1"/>
        </xdr:cNvSpPr>
      </xdr:nvSpPr>
      <xdr:spPr bwMode="auto">
        <a:xfrm>
          <a:off x="0" y="5784532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180" name="AutoShape 1035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>
          <a:spLocks noChangeArrowheads="1"/>
        </xdr:cNvSpPr>
      </xdr:nvSpPr>
      <xdr:spPr bwMode="auto">
        <a:xfrm>
          <a:off x="0" y="579977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181" name="AutoShape 1032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>
          <a:spLocks noChangeArrowheads="1"/>
        </xdr:cNvSpPr>
      </xdr:nvSpPr>
      <xdr:spPr bwMode="auto">
        <a:xfrm>
          <a:off x="0" y="5815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182" name="AutoShape 103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>
          <a:spLocks noChangeArrowheads="1"/>
        </xdr:cNvSpPr>
      </xdr:nvSpPr>
      <xdr:spPr bwMode="auto">
        <a:xfrm>
          <a:off x="0" y="5815012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83" name="AutoShape 1030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>
          <a:spLocks noChangeArrowheads="1"/>
        </xdr:cNvSpPr>
      </xdr:nvSpPr>
      <xdr:spPr bwMode="auto">
        <a:xfrm>
          <a:off x="0" y="5845492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4" name="AutoShape 1022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>
          <a:spLocks noChangeArrowheads="1"/>
        </xdr:cNvSpPr>
      </xdr:nvSpPr>
      <xdr:spPr bwMode="auto">
        <a:xfrm>
          <a:off x="95250" y="58912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5" name="AutoShape 101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>
          <a:spLocks noChangeArrowheads="1"/>
        </xdr:cNvSpPr>
      </xdr:nvSpPr>
      <xdr:spPr bwMode="auto">
        <a:xfrm>
          <a:off x="95250" y="59064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Bar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6" name="AutoShape 1006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>
          <a:spLocks noChangeArrowheads="1"/>
        </xdr:cNvSpPr>
      </xdr:nvSpPr>
      <xdr:spPr bwMode="auto">
        <a:xfrm>
          <a:off x="95250" y="5921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7" name="AutoShape 998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>
          <a:spLocks noChangeArrowheads="1"/>
        </xdr:cNvSpPr>
      </xdr:nvSpPr>
      <xdr:spPr bwMode="auto">
        <a:xfrm>
          <a:off x="95250" y="59369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Bar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8" name="AutoShape 990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>
          <a:spLocks noChangeArrowheads="1"/>
        </xdr:cNvSpPr>
      </xdr:nvSpPr>
      <xdr:spPr bwMode="auto">
        <a:xfrm>
          <a:off x="95250" y="59521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9" name="AutoShape 982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>
          <a:spLocks noChangeArrowheads="1"/>
        </xdr:cNvSpPr>
      </xdr:nvSpPr>
      <xdr:spPr bwMode="auto">
        <a:xfrm>
          <a:off x="95250" y="59674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90" name="AutoShape 974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>
          <a:spLocks noChangeArrowheads="1"/>
        </xdr:cNvSpPr>
      </xdr:nvSpPr>
      <xdr:spPr bwMode="auto">
        <a:xfrm>
          <a:off x="0" y="598265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2009775" cy="209550"/>
    <xdr:sp macro="" textlink="">
      <xdr:nvSpPr>
        <xdr:cNvPr id="191" name="AutoShape 966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>
          <a:spLocks noChangeArrowheads="1"/>
        </xdr:cNvSpPr>
      </xdr:nvSpPr>
      <xdr:spPr bwMode="auto">
        <a:xfrm>
          <a:off x="0" y="5997892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SERVICES AUX CHAMBRES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92" name="AutoShape 965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>
          <a:spLocks noChangeArrowheads="1"/>
        </xdr:cNvSpPr>
      </xdr:nvSpPr>
      <xdr:spPr bwMode="auto">
        <a:xfrm>
          <a:off x="0" y="601313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3" name="AutoShape 964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>
          <a:spLocks noChangeArrowheads="1"/>
        </xdr:cNvSpPr>
      </xdr:nvSpPr>
      <xdr:spPr bwMode="auto">
        <a:xfrm>
          <a:off x="95250" y="60283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 Serv Cham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4" name="AutoShape 956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>
          <a:spLocks noChangeArrowheads="1"/>
        </xdr:cNvSpPr>
      </xdr:nvSpPr>
      <xdr:spPr bwMode="auto">
        <a:xfrm>
          <a:off x="95250" y="60436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Serv Chamb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5" name="AutoShape 948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>
          <a:spLocks noChangeArrowheads="1"/>
        </xdr:cNvSpPr>
      </xdr:nvSpPr>
      <xdr:spPr bwMode="auto">
        <a:xfrm>
          <a:off x="95250" y="60588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Serv Chamb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6" name="AutoShape 940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>
          <a:spLocks noChangeArrowheads="1"/>
        </xdr:cNvSpPr>
      </xdr:nvSpPr>
      <xdr:spPr bwMode="auto">
        <a:xfrm>
          <a:off x="95250" y="60740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Serv Chamb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7" name="AutoShape 932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>
          <a:spLocks noChangeArrowheads="1"/>
        </xdr:cNvSpPr>
      </xdr:nvSpPr>
      <xdr:spPr bwMode="auto">
        <a:xfrm>
          <a:off x="95250" y="60893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Serv Cham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8" name="AutoShape 924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>
          <a:spLocks noChangeArrowheads="1"/>
        </xdr:cNvSpPr>
      </xdr:nvSpPr>
      <xdr:spPr bwMode="auto">
        <a:xfrm>
          <a:off x="95250" y="61045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Serv Chamb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9" name="AutoShape 916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>
          <a:spLocks noChangeArrowheads="1"/>
        </xdr:cNvSpPr>
      </xdr:nvSpPr>
      <xdr:spPr bwMode="auto">
        <a:xfrm>
          <a:off x="95250" y="61198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Serv Chamb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0" name="AutoShape 908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>
          <a:spLocks noChangeArrowheads="1"/>
        </xdr:cNvSpPr>
      </xdr:nvSpPr>
      <xdr:spPr bwMode="auto">
        <a:xfrm>
          <a:off x="95250" y="61350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Serv Chamb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1" name="AutoShape 9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>
          <a:spLocks noChangeArrowheads="1"/>
        </xdr:cNvSpPr>
      </xdr:nvSpPr>
      <xdr:spPr bwMode="auto">
        <a:xfrm>
          <a:off x="95250" y="61502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Serv Chamb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02" name="AutoShape 892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>
          <a:spLocks noChangeArrowheads="1"/>
        </xdr:cNvSpPr>
      </xdr:nvSpPr>
      <xdr:spPr bwMode="auto">
        <a:xfrm>
          <a:off x="0" y="616553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76275" cy="209550"/>
    <xdr:sp macro="" textlink="">
      <xdr:nvSpPr>
        <xdr:cNvPr id="203" name="AutoShape 884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>
          <a:spLocks noChangeArrowheads="1"/>
        </xdr:cNvSpPr>
      </xdr:nvSpPr>
      <xdr:spPr bwMode="auto">
        <a:xfrm>
          <a:off x="0" y="6180772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BANQUET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04" name="AutoShape 88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>
          <a:spLocks noChangeArrowheads="1"/>
        </xdr:cNvSpPr>
      </xdr:nvSpPr>
      <xdr:spPr bwMode="auto">
        <a:xfrm>
          <a:off x="0" y="619601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5" name="AutoShape 882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>
          <a:spLocks noChangeArrowheads="1"/>
        </xdr:cNvSpPr>
      </xdr:nvSpPr>
      <xdr:spPr bwMode="auto">
        <a:xfrm>
          <a:off x="95250" y="62112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Banquet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6" name="AutoShape 874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>
          <a:spLocks noChangeArrowheads="1"/>
        </xdr:cNvSpPr>
      </xdr:nvSpPr>
      <xdr:spPr bwMode="auto">
        <a:xfrm>
          <a:off x="95250" y="62264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Banquet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7" name="AutoShape 86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>
          <a:spLocks noChangeArrowheads="1"/>
        </xdr:cNvSpPr>
      </xdr:nvSpPr>
      <xdr:spPr bwMode="auto">
        <a:xfrm>
          <a:off x="95250" y="62417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Banquet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8" name="AutoShape 858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>
          <a:spLocks noChangeArrowheads="1"/>
        </xdr:cNvSpPr>
      </xdr:nvSpPr>
      <xdr:spPr bwMode="auto">
        <a:xfrm>
          <a:off x="95250" y="62569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Banquet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9" name="AutoShape 850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>
          <a:spLocks noChangeArrowheads="1"/>
        </xdr:cNvSpPr>
      </xdr:nvSpPr>
      <xdr:spPr bwMode="auto">
        <a:xfrm>
          <a:off x="95250" y="62722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Banquet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0" name="AutoShape 842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>
          <a:spLocks noChangeArrowheads="1"/>
        </xdr:cNvSpPr>
      </xdr:nvSpPr>
      <xdr:spPr bwMode="auto">
        <a:xfrm>
          <a:off x="95250" y="62874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Banquet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1" name="AutoShape 834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>
          <a:spLocks noChangeArrowheads="1"/>
        </xdr:cNvSpPr>
      </xdr:nvSpPr>
      <xdr:spPr bwMode="auto">
        <a:xfrm>
          <a:off x="95250" y="6302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Location De Salle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2" name="AutoShape 826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>
          <a:spLocks noChangeArrowheads="1"/>
        </xdr:cNvSpPr>
      </xdr:nvSpPr>
      <xdr:spPr bwMode="auto">
        <a:xfrm>
          <a:off x="95250" y="63179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Equipement Audio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3" name="AutoShape 818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>
          <a:spLocks noChangeArrowheads="1"/>
        </xdr:cNvSpPr>
      </xdr:nvSpPr>
      <xdr:spPr bwMode="auto">
        <a:xfrm>
          <a:off x="95250" y="63331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Equipement Divers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4" name="AutoShape 810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>
          <a:spLocks noChangeArrowheads="1"/>
        </xdr:cNvSpPr>
      </xdr:nvSpPr>
      <xdr:spPr bwMode="auto">
        <a:xfrm>
          <a:off x="95250" y="63484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Frais De Location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5" name="AutoShape 802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>
          <a:spLocks noChangeArrowheads="1"/>
        </xdr:cNvSpPr>
      </xdr:nvSpPr>
      <xdr:spPr bwMode="auto">
        <a:xfrm>
          <a:off x="95250" y="63636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6" name="AutoShape 794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>
          <a:spLocks noChangeArrowheads="1"/>
        </xdr:cNvSpPr>
      </xdr:nvSpPr>
      <xdr:spPr bwMode="auto">
        <a:xfrm>
          <a:off x="95250" y="63788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Socan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7" name="AutoShape 78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>
          <a:spLocks noChangeArrowheads="1"/>
        </xdr:cNvSpPr>
      </xdr:nvSpPr>
      <xdr:spPr bwMode="auto">
        <a:xfrm>
          <a:off x="95250" y="63941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Bqt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8" name="AutoShape 778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>
          <a:spLocks noChangeArrowheads="1"/>
        </xdr:cNvSpPr>
      </xdr:nvSpPr>
      <xdr:spPr bwMode="auto">
        <a:xfrm>
          <a:off x="95250" y="64093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Bqt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9" name="AutoShape 770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>
          <a:spLocks noChangeArrowheads="1"/>
        </xdr:cNvSpPr>
      </xdr:nvSpPr>
      <xdr:spPr bwMode="auto">
        <a:xfrm>
          <a:off x="95250" y="64246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Bqt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20" name="AutoShape 762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>
          <a:spLocks noChangeArrowheads="1"/>
        </xdr:cNvSpPr>
      </xdr:nvSpPr>
      <xdr:spPr bwMode="auto">
        <a:xfrm>
          <a:off x="0" y="643985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438275" cy="209550"/>
    <xdr:sp macro="" textlink="">
      <xdr:nvSpPr>
        <xdr:cNvPr id="221" name="AutoShape 754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>
          <a:spLocks noChangeArrowheads="1"/>
        </xdr:cNvSpPr>
      </xdr:nvSpPr>
      <xdr:spPr bwMode="auto">
        <a:xfrm>
          <a:off x="0" y="6455092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Tabagie-Remanco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22" name="AutoShape 753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>
          <a:spLocks noChangeArrowheads="1"/>
        </xdr:cNvSpPr>
      </xdr:nvSpPr>
      <xdr:spPr bwMode="auto">
        <a:xfrm>
          <a:off x="0" y="647033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3" name="AutoShape 75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>
          <a:spLocks noChangeArrowheads="1"/>
        </xdr:cNvSpPr>
      </xdr:nvSpPr>
      <xdr:spPr bwMode="auto">
        <a:xfrm>
          <a:off x="95250" y="64855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 - Remanco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4" name="AutoShape 744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>
          <a:spLocks noChangeArrowheads="1"/>
        </xdr:cNvSpPr>
      </xdr:nvSpPr>
      <xdr:spPr bwMode="auto">
        <a:xfrm>
          <a:off x="95250" y="65008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Tps- Tabagie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5" name="AutoShape 736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>
          <a:spLocks noChangeArrowheads="1"/>
        </xdr:cNvSpPr>
      </xdr:nvSpPr>
      <xdr:spPr bwMode="auto">
        <a:xfrm>
          <a:off x="95250" y="65160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- Remanco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26" name="AutoShape 728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>
          <a:spLocks noChangeArrowheads="1"/>
        </xdr:cNvSpPr>
      </xdr:nvSpPr>
      <xdr:spPr bwMode="auto">
        <a:xfrm>
          <a:off x="0" y="653129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227" name="AutoShape 72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>
          <a:spLocks noChangeArrowheads="1"/>
        </xdr:cNvSpPr>
      </xdr:nvSpPr>
      <xdr:spPr bwMode="auto">
        <a:xfrm>
          <a:off x="0" y="65465325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TELEPHONES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28" name="AutoShape 719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>
          <a:spLocks noChangeArrowheads="1"/>
        </xdr:cNvSpPr>
      </xdr:nvSpPr>
      <xdr:spPr bwMode="auto">
        <a:xfrm>
          <a:off x="0" y="656177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9" name="AutoShape 71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>
          <a:spLocks noChangeArrowheads="1"/>
        </xdr:cNvSpPr>
      </xdr:nvSpPr>
      <xdr:spPr bwMode="auto">
        <a:xfrm>
          <a:off x="95250" y="65770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Tel.Local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0" name="AutoShape 710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>
          <a:spLocks noChangeArrowheads="1"/>
        </xdr:cNvSpPr>
      </xdr:nvSpPr>
      <xdr:spPr bwMode="auto">
        <a:xfrm>
          <a:off x="95250" y="65922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Tel.Interurbain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1" name="AutoShape 702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>
          <a:spLocks noChangeArrowheads="1"/>
        </xdr:cNvSpPr>
      </xdr:nvSpPr>
      <xdr:spPr bwMode="auto">
        <a:xfrm>
          <a:off x="95250" y="66074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Tel.Local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2" name="AutoShape 694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>
          <a:spLocks noChangeArrowheads="1"/>
        </xdr:cNvSpPr>
      </xdr:nvSpPr>
      <xdr:spPr bwMode="auto">
        <a:xfrm>
          <a:off x="95250" y="66227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 Telephone Interu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33" name="AutoShape 686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>
          <a:spLocks noChangeArrowheads="1"/>
        </xdr:cNvSpPr>
      </xdr:nvSpPr>
      <xdr:spPr bwMode="auto">
        <a:xfrm>
          <a:off x="0" y="663797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234" name="AutoShape 678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>
          <a:spLocks noChangeArrowheads="1"/>
        </xdr:cNvSpPr>
      </xdr:nvSpPr>
      <xdr:spPr bwMode="auto">
        <a:xfrm>
          <a:off x="0" y="665321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REVENUS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35" name="AutoShape 677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>
          <a:spLocks noChangeArrowheads="1"/>
        </xdr:cNvSpPr>
      </xdr:nvSpPr>
      <xdr:spPr bwMode="auto">
        <a:xfrm>
          <a:off x="0" y="666845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6" name="AutoShape 676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>
          <a:spLocks noChangeArrowheads="1"/>
        </xdr:cNvSpPr>
      </xdr:nvSpPr>
      <xdr:spPr bwMode="auto">
        <a:xfrm>
          <a:off x="95250" y="6683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7" name="AutoShape 668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>
          <a:spLocks noChangeArrowheads="1"/>
        </xdr:cNvSpPr>
      </xdr:nvSpPr>
      <xdr:spPr bwMode="auto">
        <a:xfrm>
          <a:off x="0" y="77133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238" name="AutoShape 66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>
          <a:spLocks noChangeArrowheads="1"/>
        </xdr:cNvSpPr>
      </xdr:nvSpPr>
      <xdr:spPr bwMode="auto">
        <a:xfrm>
          <a:off x="0" y="7713345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239" name="AutoShape 665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>
          <a:spLocks noChangeArrowheads="1"/>
        </xdr:cNvSpPr>
      </xdr:nvSpPr>
      <xdr:spPr bwMode="auto">
        <a:xfrm>
          <a:off x="0" y="7728585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40" name="AutoShape 662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>
          <a:spLocks noChangeArrowheads="1"/>
        </xdr:cNvSpPr>
      </xdr:nvSpPr>
      <xdr:spPr bwMode="auto">
        <a:xfrm>
          <a:off x="0" y="774382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241" name="AutoShape 661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>
          <a:spLocks noChangeArrowheads="1"/>
        </xdr:cNvSpPr>
      </xdr:nvSpPr>
      <xdr:spPr bwMode="auto">
        <a:xfrm>
          <a:off x="0" y="7743825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242" name="AutoShape 660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>
          <a:spLocks noChangeArrowheads="1"/>
        </xdr:cNvSpPr>
      </xdr:nvSpPr>
      <xdr:spPr bwMode="auto">
        <a:xfrm>
          <a:off x="0" y="7774305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3" name="AutoShape 65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>
          <a:spLocks noChangeArrowheads="1"/>
        </xdr:cNvSpPr>
      </xdr:nvSpPr>
      <xdr:spPr bwMode="auto">
        <a:xfrm>
          <a:off x="95250" y="78200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A Payer Non-T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4" name="AutoShape 644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SpPr>
          <a:spLocks noChangeArrowheads="1"/>
        </xdr:cNvSpPr>
      </xdr:nvSpPr>
      <xdr:spPr bwMode="auto">
        <a:xfrm>
          <a:off x="95250" y="78352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TX Forfait-TPS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5" name="AutoShape 636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>
          <a:spLocks noChangeArrowheads="1"/>
        </xdr:cNvSpPr>
      </xdr:nvSpPr>
      <xdr:spPr bwMode="auto">
        <a:xfrm>
          <a:off x="95250" y="78505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Vestiaire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6" name="AutoShape 628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>
          <a:spLocks noChangeArrowheads="1"/>
        </xdr:cNvSpPr>
      </xdr:nvSpPr>
      <xdr:spPr bwMode="auto">
        <a:xfrm>
          <a:off x="95250" y="78657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TX Forfait-TVQ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7" name="AutoShape 62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>
          <a:spLocks noChangeArrowheads="1"/>
        </xdr:cNvSpPr>
      </xdr:nvSpPr>
      <xdr:spPr bwMode="auto">
        <a:xfrm>
          <a:off x="95250" y="78809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 Forfait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8" name="AutoShape 612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>
          <a:spLocks noChangeArrowheads="1"/>
        </xdr:cNvSpPr>
      </xdr:nvSpPr>
      <xdr:spPr bwMode="auto">
        <a:xfrm>
          <a:off x="95250" y="78962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SCI Enrollment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9" name="AutoShape 604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>
          <a:spLocks noChangeArrowheads="1"/>
        </xdr:cNvSpPr>
      </xdr:nvSpPr>
      <xdr:spPr bwMode="auto">
        <a:xfrm>
          <a:off x="95250" y="79114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Divers Non-taxable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0" name="AutoShape 596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>
          <a:spLocks noChangeArrowheads="1"/>
        </xdr:cNvSpPr>
      </xdr:nvSpPr>
      <xdr:spPr bwMode="auto">
        <a:xfrm>
          <a:off x="95250" y="79267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Photocopie - Tabagie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1" name="AutoShape 588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SpPr>
          <a:spLocks noChangeArrowheads="1"/>
        </xdr:cNvSpPr>
      </xdr:nvSpPr>
      <xdr:spPr bwMode="auto">
        <a:xfrm>
          <a:off x="95250" y="79419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 Forfait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2" name="AutoShape 580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>
          <a:spLocks noChangeArrowheads="1"/>
        </xdr:cNvSpPr>
      </xdr:nvSpPr>
      <xdr:spPr bwMode="auto">
        <a:xfrm>
          <a:off x="95250" y="79571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 Promesse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3" name="AutoShape 57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>
          <a:spLocks noChangeArrowheads="1"/>
        </xdr:cNvSpPr>
      </xdr:nvSpPr>
      <xdr:spPr bwMode="auto">
        <a:xfrm>
          <a:off x="95250" y="79724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Service-cha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4" name="AutoShape 564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>
          <a:spLocks noChangeArrowheads="1"/>
        </xdr:cNvSpPr>
      </xdr:nvSpPr>
      <xdr:spPr bwMode="auto">
        <a:xfrm>
          <a:off x="95250" y="79876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Service-N&amp;B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5" name="AutoShape 556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>
          <a:spLocks noChangeArrowheads="1"/>
        </xdr:cNvSpPr>
      </xdr:nvSpPr>
      <xdr:spPr bwMode="auto">
        <a:xfrm>
          <a:off x="95250" y="80029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Service-Aut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6" name="AutoShape 548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>
          <a:spLocks noChangeArrowheads="1"/>
        </xdr:cNvSpPr>
      </xdr:nvSpPr>
      <xdr:spPr bwMode="auto">
        <a:xfrm>
          <a:off x="95250" y="80181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Autres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7" name="AutoShape 540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>
          <a:spLocks noChangeArrowheads="1"/>
        </xdr:cNvSpPr>
      </xdr:nvSpPr>
      <xdr:spPr bwMode="auto">
        <a:xfrm>
          <a:off x="95250" y="80333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Autres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58" name="AutoShape 532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>
          <a:spLocks noChangeArrowheads="1"/>
        </xdr:cNvSpPr>
      </xdr:nvSpPr>
      <xdr:spPr bwMode="auto">
        <a:xfrm>
          <a:off x="0" y="804862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59" name="AutoShape 524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>
          <a:spLocks noChangeArrowheads="1"/>
        </xdr:cNvSpPr>
      </xdr:nvSpPr>
      <xdr:spPr bwMode="auto">
        <a:xfrm>
          <a:off x="0" y="80638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Internet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60" name="AutoShape 523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>
          <a:spLocks noChangeArrowheads="1"/>
        </xdr:cNvSpPr>
      </xdr:nvSpPr>
      <xdr:spPr bwMode="auto">
        <a:xfrm>
          <a:off x="0" y="80791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1" name="AutoShape 522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>
          <a:spLocks noChangeArrowheads="1"/>
        </xdr:cNvSpPr>
      </xdr:nvSpPr>
      <xdr:spPr bwMode="auto">
        <a:xfrm>
          <a:off x="95250" y="80943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Internet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2" name="AutoShape 514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>
          <a:spLocks noChangeArrowheads="1"/>
        </xdr:cNvSpPr>
      </xdr:nvSpPr>
      <xdr:spPr bwMode="auto">
        <a:xfrm>
          <a:off x="95250" y="81095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Internet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63" name="AutoShape 506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>
          <a:spLocks noChangeArrowheads="1"/>
        </xdr:cNvSpPr>
      </xdr:nvSpPr>
      <xdr:spPr bwMode="auto">
        <a:xfrm>
          <a:off x="0" y="812482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152525" cy="209550"/>
    <xdr:sp macro="" textlink="">
      <xdr:nvSpPr>
        <xdr:cNvPr id="264" name="AutoShape 49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>
          <a:spLocks noChangeArrowheads="1"/>
        </xdr:cNvSpPr>
      </xdr:nvSpPr>
      <xdr:spPr bwMode="auto">
        <a:xfrm>
          <a:off x="0" y="81400650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Comptabilite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65" name="AutoShape 497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>
          <a:spLocks noChangeArrowheads="1"/>
        </xdr:cNvSpPr>
      </xdr:nvSpPr>
      <xdr:spPr bwMode="auto">
        <a:xfrm>
          <a:off x="0" y="81553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6" name="AutoShape 496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>
          <a:spLocks noChangeArrowheads="1"/>
        </xdr:cNvSpPr>
      </xdr:nvSpPr>
      <xdr:spPr bwMode="auto">
        <a:xfrm>
          <a:off x="95250" y="81705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 Reporte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7" name="AutoShape 488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>
          <a:spLocks noChangeArrowheads="1"/>
        </xdr:cNvSpPr>
      </xdr:nvSpPr>
      <xdr:spPr bwMode="auto">
        <a:xfrm>
          <a:off x="95250" y="81857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Due Back Nourriture-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8" name="AutoShape 480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>
          <a:spLocks noChangeArrowheads="1"/>
        </xdr:cNvSpPr>
      </xdr:nvSpPr>
      <xdr:spPr bwMode="auto">
        <a:xfrm>
          <a:off x="95250" y="82010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Cash Operation (zo)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9" name="AutoShape 472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>
          <a:spLocks noChangeArrowheads="1"/>
        </xdr:cNvSpPr>
      </xdr:nvSpPr>
      <xdr:spPr bwMode="auto">
        <a:xfrm>
          <a:off x="95250" y="82162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Vente Certificat Cad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0" name="AutoShape 464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>
          <a:spLocks noChangeArrowheads="1"/>
        </xdr:cNvSpPr>
      </xdr:nvSpPr>
      <xdr:spPr bwMode="auto">
        <a:xfrm>
          <a:off x="95250" y="82315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1" name="AutoShape 456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>
          <a:spLocks noChangeArrowheads="1"/>
        </xdr:cNvSpPr>
      </xdr:nvSpPr>
      <xdr:spPr bwMode="auto">
        <a:xfrm>
          <a:off x="95250" y="82467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 Royal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2" name="AutoShape 448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>
          <a:spLocks noChangeArrowheads="1"/>
        </xdr:cNvSpPr>
      </xdr:nvSpPr>
      <xdr:spPr bwMode="auto">
        <a:xfrm>
          <a:off x="95250" y="82619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 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3" name="AutoShape 440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>
          <a:spLocks noChangeArrowheads="1"/>
        </xdr:cNvSpPr>
      </xdr:nvSpPr>
      <xdr:spPr bwMode="auto">
        <a:xfrm>
          <a:off x="95250" y="82772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 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74" name="AutoShape 432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>
          <a:spLocks noChangeArrowheads="1"/>
        </xdr:cNvSpPr>
      </xdr:nvSpPr>
      <xdr:spPr bwMode="auto">
        <a:xfrm>
          <a:off x="0" y="829246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75" name="AutoShape 42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>
          <a:spLocks noChangeArrowheads="1"/>
        </xdr:cNvSpPr>
      </xdr:nvSpPr>
      <xdr:spPr bwMode="auto">
        <a:xfrm>
          <a:off x="0" y="83077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Debourse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76" name="AutoShape 423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>
          <a:spLocks noChangeArrowheads="1"/>
        </xdr:cNvSpPr>
      </xdr:nvSpPr>
      <xdr:spPr bwMode="auto">
        <a:xfrm>
          <a:off x="0" y="832294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7" name="AutoShape 422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>
          <a:spLocks noChangeArrowheads="1"/>
        </xdr:cNvSpPr>
      </xdr:nvSpPr>
      <xdr:spPr bwMode="auto">
        <a:xfrm>
          <a:off x="95250" y="83381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Debourse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8" name="AutoShape 414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>
          <a:spLocks noChangeArrowheads="1"/>
        </xdr:cNvSpPr>
      </xdr:nvSpPr>
      <xdr:spPr bwMode="auto">
        <a:xfrm>
          <a:off x="95250" y="83534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Remboursement Serveu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9" name="AutoShape 406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>
          <a:spLocks noChangeArrowheads="1"/>
        </xdr:cNvSpPr>
      </xdr:nvSpPr>
      <xdr:spPr bwMode="auto">
        <a:xfrm>
          <a:off x="95250" y="83686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Remboursement Loteri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80" name="AutoShape 398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>
          <a:spLocks noChangeArrowheads="1"/>
        </xdr:cNvSpPr>
      </xdr:nvSpPr>
      <xdr:spPr bwMode="auto">
        <a:xfrm>
          <a:off x="0" y="838390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533525" cy="209550"/>
    <xdr:sp macro="" textlink="">
      <xdr:nvSpPr>
        <xdr:cNvPr id="281" name="AutoShape 39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>
          <a:spLocks noChangeArrowheads="1"/>
        </xdr:cNvSpPr>
      </xdr:nvSpPr>
      <xdr:spPr bwMode="auto">
        <a:xfrm>
          <a:off x="0" y="8399145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Package Breakage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82" name="AutoShape 389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>
          <a:spLocks noChangeArrowheads="1"/>
        </xdr:cNvSpPr>
      </xdr:nvSpPr>
      <xdr:spPr bwMode="auto">
        <a:xfrm>
          <a:off x="0" y="841438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83" name="AutoShape 388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>
          <a:spLocks noChangeArrowheads="1"/>
        </xdr:cNvSpPr>
      </xdr:nvSpPr>
      <xdr:spPr bwMode="auto">
        <a:xfrm>
          <a:off x="95250" y="84296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Overall Breakage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84" name="AutoShape 380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>
          <a:spLocks noChangeArrowheads="1"/>
        </xdr:cNvSpPr>
      </xdr:nvSpPr>
      <xdr:spPr bwMode="auto">
        <a:xfrm>
          <a:off x="95250" y="84448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Freestay Breakage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85" name="AutoShape 372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>
          <a:spLocks noChangeArrowheads="1"/>
        </xdr:cNvSpPr>
      </xdr:nvSpPr>
      <xdr:spPr bwMode="auto">
        <a:xfrm>
          <a:off x="0" y="846010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438275" cy="209550"/>
    <xdr:sp macro="" textlink="">
      <xdr:nvSpPr>
        <xdr:cNvPr id="287" name="AutoShape 35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>
          <a:spLocks noChangeArrowheads="1"/>
        </xdr:cNvSpPr>
      </xdr:nvSpPr>
      <xdr:spPr bwMode="auto">
        <a:xfrm>
          <a:off x="0" y="85058250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Todays Activity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88" name="AutoShape 348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>
          <a:spLocks noChangeArrowheads="1"/>
        </xdr:cNvSpPr>
      </xdr:nvSpPr>
      <xdr:spPr bwMode="auto">
        <a:xfrm>
          <a:off x="0" y="85363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289" name="AutoShape 347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>
          <a:spLocks noChangeArrowheads="1"/>
        </xdr:cNvSpPr>
      </xdr:nvSpPr>
      <xdr:spPr bwMode="auto">
        <a:xfrm>
          <a:off x="0" y="8551545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Settlements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90" name="AutoShape 346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>
          <a:spLocks noChangeArrowheads="1"/>
        </xdr:cNvSpPr>
      </xdr:nvSpPr>
      <xdr:spPr bwMode="auto">
        <a:xfrm>
          <a:off x="180975" y="856678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Comptant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533525" cy="209550"/>
    <xdr:sp macro="" textlink="">
      <xdr:nvSpPr>
        <xdr:cNvPr id="291" name="AutoShape 341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>
          <a:spLocks noChangeArrowheads="1"/>
        </xdr:cNvSpPr>
      </xdr:nvSpPr>
      <xdr:spPr bwMode="auto">
        <a:xfrm>
          <a:off x="180975" y="8582025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American Express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390525" cy="209550"/>
    <xdr:sp macro="" textlink="">
      <xdr:nvSpPr>
        <xdr:cNvPr id="292" name="AutoShape 336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>
          <a:spLocks noChangeArrowheads="1"/>
        </xdr:cNvSpPr>
      </xdr:nvSpPr>
      <xdr:spPr bwMode="auto">
        <a:xfrm>
          <a:off x="180975" y="85972650"/>
          <a:ext cx="390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Visa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293" name="AutoShape 331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>
          <a:spLocks noChangeArrowheads="1"/>
        </xdr:cNvSpPr>
      </xdr:nvSpPr>
      <xdr:spPr bwMode="auto">
        <a:xfrm>
          <a:off x="180975" y="86125050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MasterCard</a:t>
          </a:r>
        </a:p>
      </xdr:txBody>
    </xdr:sp>
    <xdr:clientData/>
  </xdr:oneCellAnchor>
  <xdr:oneCellAnchor>
    <xdr:from>
      <xdr:col>1</xdr:col>
      <xdr:colOff>0</xdr:colOff>
      <xdr:row>136</xdr:row>
      <xdr:rowOff>161925</xdr:rowOff>
    </xdr:from>
    <xdr:ext cx="1914525" cy="209550"/>
    <xdr:sp macro="" textlink="">
      <xdr:nvSpPr>
        <xdr:cNvPr id="294" name="AutoShape 326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>
          <a:spLocks noChangeArrowheads="1"/>
        </xdr:cNvSpPr>
      </xdr:nvSpPr>
      <xdr:spPr bwMode="auto">
        <a:xfrm>
          <a:off x="0" y="964215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136</xdr:row>
      <xdr:rowOff>161925</xdr:rowOff>
    </xdr:from>
    <xdr:ext cx="1247775" cy="209550"/>
    <xdr:sp macro="" textlink="">
      <xdr:nvSpPr>
        <xdr:cNvPr id="295" name="AutoShape 325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>
          <a:spLocks noChangeArrowheads="1"/>
        </xdr:cNvSpPr>
      </xdr:nvSpPr>
      <xdr:spPr bwMode="auto">
        <a:xfrm>
          <a:off x="0" y="9642157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137</xdr:row>
      <xdr:rowOff>123825</xdr:rowOff>
    </xdr:from>
    <xdr:ext cx="1343025" cy="209550"/>
    <xdr:sp macro="" textlink="">
      <xdr:nvSpPr>
        <xdr:cNvPr id="296" name="AutoShape 323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SpPr>
          <a:spLocks noChangeArrowheads="1"/>
        </xdr:cNvSpPr>
      </xdr:nvSpPr>
      <xdr:spPr bwMode="auto">
        <a:xfrm>
          <a:off x="0" y="965739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138</xdr:row>
      <xdr:rowOff>85725</xdr:rowOff>
    </xdr:from>
    <xdr:ext cx="771525" cy="209550"/>
    <xdr:sp macro="" textlink="">
      <xdr:nvSpPr>
        <xdr:cNvPr id="297" name="AutoShape 320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>
          <a:spLocks noChangeArrowheads="1"/>
        </xdr:cNvSpPr>
      </xdr:nvSpPr>
      <xdr:spPr bwMode="auto">
        <a:xfrm>
          <a:off x="0" y="967263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138</xdr:row>
      <xdr:rowOff>85725</xdr:rowOff>
    </xdr:from>
    <xdr:ext cx="1819275" cy="209550"/>
    <xdr:sp macro="" textlink="">
      <xdr:nvSpPr>
        <xdr:cNvPr id="298" name="AutoShape 319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SpPr>
          <a:spLocks noChangeArrowheads="1"/>
        </xdr:cNvSpPr>
      </xdr:nvSpPr>
      <xdr:spPr bwMode="auto">
        <a:xfrm>
          <a:off x="0" y="967263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140</xdr:row>
      <xdr:rowOff>9525</xdr:rowOff>
    </xdr:from>
    <xdr:ext cx="1057275" cy="209550"/>
    <xdr:sp macro="" textlink="">
      <xdr:nvSpPr>
        <xdr:cNvPr id="299" name="AutoShape 31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SpPr>
          <a:spLocks noChangeArrowheads="1"/>
        </xdr:cNvSpPr>
      </xdr:nvSpPr>
      <xdr:spPr bwMode="auto">
        <a:xfrm>
          <a:off x="0" y="970311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142</xdr:row>
      <xdr:rowOff>85725</xdr:rowOff>
    </xdr:from>
    <xdr:ext cx="581025" cy="209550"/>
    <xdr:sp macro="" textlink="">
      <xdr:nvSpPr>
        <xdr:cNvPr id="300" name="AutoShape 310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SpPr>
          <a:spLocks noChangeArrowheads="1"/>
        </xdr:cNvSpPr>
      </xdr:nvSpPr>
      <xdr:spPr bwMode="auto">
        <a:xfrm>
          <a:off x="180975" y="97488375"/>
          <a:ext cx="581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Diners</a:t>
          </a:r>
        </a:p>
      </xdr:txBody>
    </xdr:sp>
    <xdr:clientData/>
  </xdr:oneCellAnchor>
  <xdr:oneCellAnchor>
    <xdr:from>
      <xdr:col>1</xdr:col>
      <xdr:colOff>0</xdr:colOff>
      <xdr:row>143</xdr:row>
      <xdr:rowOff>47625</xdr:rowOff>
    </xdr:from>
    <xdr:ext cx="771525" cy="209550"/>
    <xdr:sp macro="" textlink="">
      <xdr:nvSpPr>
        <xdr:cNvPr id="301" name="AutoShape 305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SpPr>
          <a:spLocks noChangeArrowheads="1"/>
        </xdr:cNvSpPr>
      </xdr:nvSpPr>
      <xdr:spPr bwMode="auto">
        <a:xfrm>
          <a:off x="180975" y="976407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Discover</a:t>
          </a:r>
        </a:p>
      </xdr:txBody>
    </xdr:sp>
    <xdr:clientData/>
  </xdr:oneCellAnchor>
  <xdr:oneCellAnchor>
    <xdr:from>
      <xdr:col>1</xdr:col>
      <xdr:colOff>0</xdr:colOff>
      <xdr:row>144</xdr:row>
      <xdr:rowOff>9525</xdr:rowOff>
    </xdr:from>
    <xdr:ext cx="1724025" cy="209550"/>
    <xdr:sp macro="" textlink="">
      <xdr:nvSpPr>
        <xdr:cNvPr id="302" name="AutoShape 300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>
          <a:spLocks noChangeArrowheads="1"/>
        </xdr:cNvSpPr>
      </xdr:nvSpPr>
      <xdr:spPr bwMode="auto">
        <a:xfrm>
          <a:off x="180975" y="977931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 Bancaire</a:t>
          </a:r>
        </a:p>
      </xdr:txBody>
    </xdr:sp>
    <xdr:clientData/>
  </xdr:oneCellAnchor>
  <xdr:oneCellAnchor>
    <xdr:from>
      <xdr:col>1</xdr:col>
      <xdr:colOff>0</xdr:colOff>
      <xdr:row>144</xdr:row>
      <xdr:rowOff>161925</xdr:rowOff>
    </xdr:from>
    <xdr:ext cx="1438275" cy="209550"/>
    <xdr:sp macro="" textlink="">
      <xdr:nvSpPr>
        <xdr:cNvPr id="303" name="AutoShape 295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>
          <a:spLocks noChangeArrowheads="1"/>
        </xdr:cNvSpPr>
      </xdr:nvSpPr>
      <xdr:spPr bwMode="auto">
        <a:xfrm>
          <a:off x="180975" y="979455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Reporte</a:t>
          </a:r>
        </a:p>
      </xdr:txBody>
    </xdr:sp>
    <xdr:clientData/>
  </xdr:oneCellAnchor>
  <xdr:oneCellAnchor>
    <xdr:from>
      <xdr:col>1</xdr:col>
      <xdr:colOff>0</xdr:colOff>
      <xdr:row>145</xdr:row>
      <xdr:rowOff>123825</xdr:rowOff>
    </xdr:from>
    <xdr:ext cx="1914525" cy="209550"/>
    <xdr:sp macro="" textlink="">
      <xdr:nvSpPr>
        <xdr:cNvPr id="304" name="AutoShape 290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SpPr>
          <a:spLocks noChangeArrowheads="1"/>
        </xdr:cNvSpPr>
      </xdr:nvSpPr>
      <xdr:spPr bwMode="auto">
        <a:xfrm>
          <a:off x="180975" y="980979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ExpresPass guarantee</a:t>
          </a:r>
        </a:p>
      </xdr:txBody>
    </xdr:sp>
    <xdr:clientData/>
  </xdr:oneCellAnchor>
  <xdr:oneCellAnchor>
    <xdr:from>
      <xdr:col>1</xdr:col>
      <xdr:colOff>0</xdr:colOff>
      <xdr:row>146</xdr:row>
      <xdr:rowOff>85725</xdr:rowOff>
    </xdr:from>
    <xdr:ext cx="1057275" cy="209550"/>
    <xdr:sp macro="" textlink="">
      <xdr:nvSpPr>
        <xdr:cNvPr id="305" name="AutoShape 285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SpPr>
          <a:spLocks noChangeArrowheads="1"/>
        </xdr:cNvSpPr>
      </xdr:nvSpPr>
      <xdr:spPr bwMode="auto">
        <a:xfrm>
          <a:off x="180975" y="982503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Bon D'Achat</a:t>
          </a:r>
        </a:p>
      </xdr:txBody>
    </xdr:sp>
    <xdr:clientData/>
  </xdr:oneCellAnchor>
  <xdr:oneCellAnchor>
    <xdr:from>
      <xdr:col>1</xdr:col>
      <xdr:colOff>0</xdr:colOff>
      <xdr:row>147</xdr:row>
      <xdr:rowOff>47625</xdr:rowOff>
    </xdr:from>
    <xdr:ext cx="1724025" cy="209550"/>
    <xdr:sp macro="" textlink="">
      <xdr:nvSpPr>
        <xdr:cNvPr id="306" name="AutoShape 280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SpPr>
          <a:spLocks noChangeArrowheads="1"/>
        </xdr:cNvSpPr>
      </xdr:nvSpPr>
      <xdr:spPr bwMode="auto">
        <a:xfrm>
          <a:off x="180975" y="98402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 Cadeaux</a:t>
          </a:r>
        </a:p>
      </xdr:txBody>
    </xdr:sp>
    <xdr:clientData/>
  </xdr:oneCellAnchor>
  <xdr:oneCellAnchor>
    <xdr:from>
      <xdr:col>1</xdr:col>
      <xdr:colOff>0</xdr:colOff>
      <xdr:row>148</xdr:row>
      <xdr:rowOff>9525</xdr:rowOff>
    </xdr:from>
    <xdr:ext cx="1057275" cy="209550"/>
    <xdr:sp macro="" textlink="">
      <xdr:nvSpPr>
        <xdr:cNvPr id="307" name="AutoShape 275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>
          <a:spLocks noChangeArrowheads="1"/>
        </xdr:cNvSpPr>
      </xdr:nvSpPr>
      <xdr:spPr bwMode="auto">
        <a:xfrm>
          <a:off x="180975" y="985551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Debit</a:t>
          </a:r>
        </a:p>
      </xdr:txBody>
    </xdr:sp>
    <xdr:clientData/>
  </xdr:oneCellAnchor>
  <xdr:oneCellAnchor>
    <xdr:from>
      <xdr:col>1</xdr:col>
      <xdr:colOff>0</xdr:colOff>
      <xdr:row>148</xdr:row>
      <xdr:rowOff>161925</xdr:rowOff>
    </xdr:from>
    <xdr:ext cx="581025" cy="209550"/>
    <xdr:sp macro="" textlink="">
      <xdr:nvSpPr>
        <xdr:cNvPr id="308" name="AutoShape 270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>
          <a:spLocks noChangeArrowheads="1"/>
        </xdr:cNvSpPr>
      </xdr:nvSpPr>
      <xdr:spPr bwMode="auto">
        <a:xfrm>
          <a:off x="180975" y="98707575"/>
          <a:ext cx="581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Cheque</a:t>
          </a:r>
        </a:p>
      </xdr:txBody>
    </xdr:sp>
    <xdr:clientData/>
  </xdr:oneCellAnchor>
  <xdr:oneCellAnchor>
    <xdr:from>
      <xdr:col>1</xdr:col>
      <xdr:colOff>0</xdr:colOff>
      <xdr:row>149</xdr:row>
      <xdr:rowOff>123825</xdr:rowOff>
    </xdr:from>
    <xdr:ext cx="1343025" cy="209550"/>
    <xdr:sp macro="" textlink="">
      <xdr:nvSpPr>
        <xdr:cNvPr id="309" name="AutoShape 265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>
          <a:spLocks noChangeArrowheads="1"/>
        </xdr:cNvSpPr>
      </xdr:nvSpPr>
      <xdr:spPr bwMode="auto">
        <a:xfrm>
          <a:off x="180975" y="988599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Facture Direct</a:t>
          </a:r>
        </a:p>
      </xdr:txBody>
    </xdr:sp>
    <xdr:clientData/>
  </xdr:oneCellAnchor>
  <xdr:oneCellAnchor>
    <xdr:from>
      <xdr:col>1</xdr:col>
      <xdr:colOff>0</xdr:colOff>
      <xdr:row>150</xdr:row>
      <xdr:rowOff>85725</xdr:rowOff>
    </xdr:from>
    <xdr:ext cx="1343025" cy="209550"/>
    <xdr:sp macro="" textlink="">
      <xdr:nvSpPr>
        <xdr:cNvPr id="310" name="AutoShape 260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>
          <a:spLocks noChangeArrowheads="1"/>
        </xdr:cNvSpPr>
      </xdr:nvSpPr>
      <xdr:spPr bwMode="auto">
        <a:xfrm>
          <a:off x="180975" y="990123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 Cadeau Hp</a:t>
          </a:r>
        </a:p>
      </xdr:txBody>
    </xdr:sp>
    <xdr:clientData/>
  </xdr:oneCellAnchor>
  <xdr:oneCellAnchor>
    <xdr:from>
      <xdr:col>1</xdr:col>
      <xdr:colOff>0</xdr:colOff>
      <xdr:row>151</xdr:row>
      <xdr:rowOff>47625</xdr:rowOff>
    </xdr:from>
    <xdr:ext cx="1438275" cy="209550"/>
    <xdr:sp macro="" textlink="">
      <xdr:nvSpPr>
        <xdr:cNvPr id="311" name="AutoShape 255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SpPr>
          <a:spLocks noChangeArrowheads="1"/>
        </xdr:cNvSpPr>
      </xdr:nvSpPr>
      <xdr:spPr bwMode="auto">
        <a:xfrm>
          <a:off x="180975" y="991647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Hotel Promotion</a:t>
          </a:r>
        </a:p>
      </xdr:txBody>
    </xdr:sp>
    <xdr:clientData/>
  </xdr:oneCellAnchor>
  <xdr:oneCellAnchor>
    <xdr:from>
      <xdr:col>1</xdr:col>
      <xdr:colOff>0</xdr:colOff>
      <xdr:row>152</xdr:row>
      <xdr:rowOff>9525</xdr:rowOff>
    </xdr:from>
    <xdr:ext cx="1343025" cy="209550"/>
    <xdr:sp macro="" textlink="">
      <xdr:nvSpPr>
        <xdr:cNvPr id="312" name="AutoShape 250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>
          <a:spLocks noChangeArrowheads="1"/>
        </xdr:cNvSpPr>
      </xdr:nvSpPr>
      <xdr:spPr bwMode="auto">
        <a:xfrm>
          <a:off x="180975" y="99317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Complimentaire</a:t>
          </a:r>
        </a:p>
      </xdr:txBody>
    </xdr:sp>
    <xdr:clientData/>
  </xdr:oneCellAnchor>
  <xdr:oneCellAnchor>
    <xdr:from>
      <xdr:col>1</xdr:col>
      <xdr:colOff>0</xdr:colOff>
      <xdr:row>152</xdr:row>
      <xdr:rowOff>161925</xdr:rowOff>
    </xdr:from>
    <xdr:ext cx="866775" cy="209550"/>
    <xdr:sp macro="" textlink="">
      <xdr:nvSpPr>
        <xdr:cNvPr id="313" name="AutoShape 245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>
          <a:spLocks noChangeArrowheads="1"/>
        </xdr:cNvSpPr>
      </xdr:nvSpPr>
      <xdr:spPr bwMode="auto">
        <a:xfrm>
          <a:off x="180975" y="994695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Compagnie</a:t>
          </a:r>
        </a:p>
      </xdr:txBody>
    </xdr:sp>
    <xdr:clientData/>
  </xdr:oneCellAnchor>
  <xdr:oneCellAnchor>
    <xdr:from>
      <xdr:col>1</xdr:col>
      <xdr:colOff>0</xdr:colOff>
      <xdr:row>153</xdr:row>
      <xdr:rowOff>123825</xdr:rowOff>
    </xdr:from>
    <xdr:ext cx="771525" cy="209550"/>
    <xdr:sp macro="" textlink="">
      <xdr:nvSpPr>
        <xdr:cNvPr id="314" name="AutoShape 240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>
          <a:spLocks noChangeArrowheads="1"/>
        </xdr:cNvSpPr>
      </xdr:nvSpPr>
      <xdr:spPr bwMode="auto">
        <a:xfrm>
          <a:off x="180975" y="996219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En Route</a:t>
          </a:r>
        </a:p>
      </xdr:txBody>
    </xdr:sp>
    <xdr:clientData/>
  </xdr:oneCellAnchor>
  <xdr:oneCellAnchor>
    <xdr:from>
      <xdr:col>1</xdr:col>
      <xdr:colOff>0</xdr:colOff>
      <xdr:row>154</xdr:row>
      <xdr:rowOff>85725</xdr:rowOff>
    </xdr:from>
    <xdr:ext cx="200025" cy="209550"/>
    <xdr:sp macro="" textlink="">
      <xdr:nvSpPr>
        <xdr:cNvPr id="315" name="AutoShape 235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>
          <a:spLocks noChangeArrowheads="1"/>
        </xdr:cNvSpPr>
      </xdr:nvSpPr>
      <xdr:spPr bwMode="auto">
        <a:xfrm>
          <a:off x="180975" y="99774375"/>
          <a:ext cx="200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CG</a:t>
          </a:r>
        </a:p>
      </xdr:txBody>
    </xdr:sp>
    <xdr:clientData/>
  </xdr:oneCellAnchor>
  <xdr:oneCellAnchor>
    <xdr:from>
      <xdr:col>1</xdr:col>
      <xdr:colOff>0</xdr:colOff>
      <xdr:row>155</xdr:row>
      <xdr:rowOff>47625</xdr:rowOff>
    </xdr:from>
    <xdr:ext cx="1152525" cy="209550"/>
    <xdr:sp macro="" textlink="">
      <xdr:nvSpPr>
        <xdr:cNvPr id="316" name="AutoShape 230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>
          <a:spLocks noChangeArrowheads="1"/>
        </xdr:cNvSpPr>
      </xdr:nvSpPr>
      <xdr:spPr bwMode="auto">
        <a:xfrm>
          <a:off x="180975" y="999267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Blance</a:t>
          </a:r>
        </a:p>
      </xdr:txBody>
    </xdr:sp>
    <xdr:clientData/>
  </xdr:oneCellAnchor>
  <xdr:oneCellAnchor>
    <xdr:from>
      <xdr:col>1</xdr:col>
      <xdr:colOff>0</xdr:colOff>
      <xdr:row>156</xdr:row>
      <xdr:rowOff>9525</xdr:rowOff>
    </xdr:from>
    <xdr:ext cx="1152525" cy="209550"/>
    <xdr:sp macro="" textlink="">
      <xdr:nvSpPr>
        <xdr:cNvPr id="317" name="AutoShape 225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>
          <a:spLocks noChangeArrowheads="1"/>
        </xdr:cNvSpPr>
      </xdr:nvSpPr>
      <xdr:spPr bwMode="auto">
        <a:xfrm>
          <a:off x="180975" y="1000791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Visa Remanco</a:t>
          </a:r>
        </a:p>
      </xdr:txBody>
    </xdr:sp>
    <xdr:clientData/>
  </xdr:oneCellAnchor>
  <xdr:oneCellAnchor>
    <xdr:from>
      <xdr:col>1</xdr:col>
      <xdr:colOff>0</xdr:colOff>
      <xdr:row>156</xdr:row>
      <xdr:rowOff>161925</xdr:rowOff>
    </xdr:from>
    <xdr:ext cx="1724025" cy="209550"/>
    <xdr:sp macro="" textlink="">
      <xdr:nvSpPr>
        <xdr:cNvPr id="318" name="AutoShape 220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>
          <a:spLocks noChangeArrowheads="1"/>
        </xdr:cNvSpPr>
      </xdr:nvSpPr>
      <xdr:spPr bwMode="auto">
        <a:xfrm>
          <a:off x="180975" y="1002315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Mastercard Remanco</a:t>
          </a:r>
        </a:p>
      </xdr:txBody>
    </xdr:sp>
    <xdr:clientData/>
  </xdr:oneCellAnchor>
  <xdr:oneCellAnchor>
    <xdr:from>
      <xdr:col>1</xdr:col>
      <xdr:colOff>0</xdr:colOff>
      <xdr:row>157</xdr:row>
      <xdr:rowOff>123825</xdr:rowOff>
    </xdr:from>
    <xdr:ext cx="1533525" cy="209550"/>
    <xdr:sp macro="" textlink="">
      <xdr:nvSpPr>
        <xdr:cNvPr id="319" name="AutoShape 215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>
          <a:spLocks noChangeArrowheads="1"/>
        </xdr:cNvSpPr>
      </xdr:nvSpPr>
      <xdr:spPr bwMode="auto">
        <a:xfrm>
          <a:off x="180975" y="100383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Comptant Remanco</a:t>
          </a:r>
        </a:p>
      </xdr:txBody>
    </xdr:sp>
    <xdr:clientData/>
  </xdr:oneCellAnchor>
  <xdr:oneCellAnchor>
    <xdr:from>
      <xdr:col>1</xdr:col>
      <xdr:colOff>0</xdr:colOff>
      <xdr:row>158</xdr:row>
      <xdr:rowOff>85725</xdr:rowOff>
    </xdr:from>
    <xdr:ext cx="866775" cy="209550"/>
    <xdr:sp macro="" textlink="">
      <xdr:nvSpPr>
        <xdr:cNvPr id="320" name="AutoShape 210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SpPr>
          <a:spLocks noChangeArrowheads="1"/>
        </xdr:cNvSpPr>
      </xdr:nvSpPr>
      <xdr:spPr bwMode="auto">
        <a:xfrm>
          <a:off x="180975" y="1005363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Gift Card</a:t>
          </a:r>
        </a:p>
      </xdr:txBody>
    </xdr:sp>
    <xdr:clientData/>
  </xdr:oneCellAnchor>
  <xdr:oneCellAnchor>
    <xdr:from>
      <xdr:col>1</xdr:col>
      <xdr:colOff>0</xdr:colOff>
      <xdr:row>159</xdr:row>
      <xdr:rowOff>47625</xdr:rowOff>
    </xdr:from>
    <xdr:ext cx="1152525" cy="209550"/>
    <xdr:sp macro="" textlink="">
      <xdr:nvSpPr>
        <xdr:cNvPr id="321" name="AutoShape 205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SpPr>
          <a:spLocks noChangeArrowheads="1"/>
        </xdr:cNvSpPr>
      </xdr:nvSpPr>
      <xdr:spPr bwMode="auto">
        <a:xfrm>
          <a:off x="180975" y="1006887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Amex Remanco</a:t>
          </a:r>
        </a:p>
      </xdr:txBody>
    </xdr:sp>
    <xdr:clientData/>
  </xdr:oneCellAnchor>
  <xdr:oneCellAnchor>
    <xdr:from>
      <xdr:col>1</xdr:col>
      <xdr:colOff>0</xdr:colOff>
      <xdr:row>160</xdr:row>
      <xdr:rowOff>9525</xdr:rowOff>
    </xdr:from>
    <xdr:ext cx="1343025" cy="209550"/>
    <xdr:sp macro="" textlink="">
      <xdr:nvSpPr>
        <xdr:cNvPr id="322" name="AutoShape 200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SpPr>
          <a:spLocks noChangeArrowheads="1"/>
        </xdr:cNvSpPr>
      </xdr:nvSpPr>
      <xdr:spPr bwMode="auto">
        <a:xfrm>
          <a:off x="180975" y="100841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Diners Remanco</a:t>
          </a:r>
        </a:p>
      </xdr:txBody>
    </xdr:sp>
    <xdr:clientData/>
  </xdr:oneCellAnchor>
  <xdr:oneCellAnchor>
    <xdr:from>
      <xdr:col>1</xdr:col>
      <xdr:colOff>0</xdr:colOff>
      <xdr:row>160</xdr:row>
      <xdr:rowOff>161925</xdr:rowOff>
    </xdr:from>
    <xdr:ext cx="1819275" cy="209550"/>
    <xdr:sp macro="" textlink="">
      <xdr:nvSpPr>
        <xdr:cNvPr id="323" name="AutoShape 195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SpPr>
          <a:spLocks noChangeArrowheads="1"/>
        </xdr:cNvSpPr>
      </xdr:nvSpPr>
      <xdr:spPr bwMode="auto">
        <a:xfrm>
          <a:off x="180975" y="1009935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Debit Remanco</a:t>
          </a:r>
        </a:p>
      </xdr:txBody>
    </xdr:sp>
    <xdr:clientData/>
  </xdr:oneCellAnchor>
  <xdr:oneCellAnchor>
    <xdr:from>
      <xdr:col>1</xdr:col>
      <xdr:colOff>0</xdr:colOff>
      <xdr:row>161</xdr:row>
      <xdr:rowOff>123825</xdr:rowOff>
    </xdr:from>
    <xdr:ext cx="1533525" cy="209550"/>
    <xdr:sp macro="" textlink="">
      <xdr:nvSpPr>
        <xdr:cNvPr id="324" name="AutoShape 190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SpPr>
          <a:spLocks noChangeArrowheads="1"/>
        </xdr:cNvSpPr>
      </xdr:nvSpPr>
      <xdr:spPr bwMode="auto">
        <a:xfrm>
          <a:off x="180975" y="101145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Discover Remanco</a:t>
          </a:r>
        </a:p>
      </xdr:txBody>
    </xdr:sp>
    <xdr:clientData/>
  </xdr:oneCellAnchor>
  <xdr:oneCellAnchor>
    <xdr:from>
      <xdr:col>1</xdr:col>
      <xdr:colOff>0</xdr:colOff>
      <xdr:row>162</xdr:row>
      <xdr:rowOff>85725</xdr:rowOff>
    </xdr:from>
    <xdr:ext cx="1914525" cy="209550"/>
    <xdr:sp macro="" textlink="">
      <xdr:nvSpPr>
        <xdr:cNvPr id="325" name="AutoShape 185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>
          <a:spLocks noChangeArrowheads="1"/>
        </xdr:cNvSpPr>
      </xdr:nvSpPr>
      <xdr:spPr bwMode="auto">
        <a:xfrm>
          <a:off x="180975" y="1012983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Chambre Remanco</a:t>
          </a:r>
        </a:p>
      </xdr:txBody>
    </xdr:sp>
    <xdr:clientData/>
  </xdr:oneCellAnchor>
  <xdr:oneCellAnchor>
    <xdr:from>
      <xdr:col>1</xdr:col>
      <xdr:colOff>0</xdr:colOff>
      <xdr:row>163</xdr:row>
      <xdr:rowOff>47625</xdr:rowOff>
    </xdr:from>
    <xdr:ext cx="1533525" cy="209550"/>
    <xdr:sp macro="" textlink="">
      <xdr:nvSpPr>
        <xdr:cNvPr id="326" name="AutoShape 180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>
          <a:spLocks noChangeArrowheads="1"/>
        </xdr:cNvSpPr>
      </xdr:nvSpPr>
      <xdr:spPr bwMode="auto">
        <a:xfrm>
          <a:off x="180975" y="1014507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N/B Remanco</a:t>
          </a:r>
        </a:p>
      </xdr:txBody>
    </xdr:sp>
    <xdr:clientData/>
  </xdr:oneCellAnchor>
  <xdr:oneCellAnchor>
    <xdr:from>
      <xdr:col>1</xdr:col>
      <xdr:colOff>0</xdr:colOff>
      <xdr:row>164</xdr:row>
      <xdr:rowOff>9525</xdr:rowOff>
    </xdr:from>
    <xdr:ext cx="2390775" cy="209550"/>
    <xdr:sp macro="" textlink="">
      <xdr:nvSpPr>
        <xdr:cNvPr id="327" name="AutoShape 175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SpPr>
          <a:spLocks noChangeArrowheads="1"/>
        </xdr:cNvSpPr>
      </xdr:nvSpPr>
      <xdr:spPr bwMode="auto">
        <a:xfrm>
          <a:off x="180975" y="1016031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Agence De Voyage Garantie</a:t>
          </a:r>
        </a:p>
      </xdr:txBody>
    </xdr:sp>
    <xdr:clientData/>
  </xdr:oneCellAnchor>
  <xdr:oneCellAnchor>
    <xdr:from>
      <xdr:col>1</xdr:col>
      <xdr:colOff>0</xdr:colOff>
      <xdr:row>164</xdr:row>
      <xdr:rowOff>161925</xdr:rowOff>
    </xdr:from>
    <xdr:ext cx="1819275" cy="209550"/>
    <xdr:sp macro="" textlink="">
      <xdr:nvSpPr>
        <xdr:cNvPr id="328" name="AutoShape 170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>
          <a:spLocks noChangeArrowheads="1"/>
        </xdr:cNvSpPr>
      </xdr:nvSpPr>
      <xdr:spPr bwMode="auto">
        <a:xfrm>
          <a:off x="180975" y="1017555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Bon D'achat Remanco</a:t>
          </a:r>
        </a:p>
      </xdr:txBody>
    </xdr:sp>
    <xdr:clientData/>
  </xdr:oneCellAnchor>
  <xdr:oneCellAnchor>
    <xdr:from>
      <xdr:col>1</xdr:col>
      <xdr:colOff>0</xdr:colOff>
      <xdr:row>165</xdr:row>
      <xdr:rowOff>123825</xdr:rowOff>
    </xdr:from>
    <xdr:ext cx="2390775" cy="209550"/>
    <xdr:sp macro="" textlink="">
      <xdr:nvSpPr>
        <xdr:cNvPr id="329" name="AutoShape 165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SpPr>
          <a:spLocks noChangeArrowheads="1"/>
        </xdr:cNvSpPr>
      </xdr:nvSpPr>
      <xdr:spPr bwMode="auto">
        <a:xfrm>
          <a:off x="180975" y="1019079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 Cadeau Remanco</a:t>
          </a:r>
        </a:p>
      </xdr:txBody>
    </xdr:sp>
    <xdr:clientData/>
  </xdr:oneCellAnchor>
  <xdr:oneCellAnchor>
    <xdr:from>
      <xdr:col>1</xdr:col>
      <xdr:colOff>0</xdr:colOff>
      <xdr:row>166</xdr:row>
      <xdr:rowOff>85725</xdr:rowOff>
    </xdr:from>
    <xdr:ext cx="1724025" cy="209550"/>
    <xdr:sp macro="" textlink="">
      <xdr:nvSpPr>
        <xdr:cNvPr id="330" name="AutoShape 160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SpPr>
          <a:spLocks noChangeArrowheads="1"/>
        </xdr:cNvSpPr>
      </xdr:nvSpPr>
      <xdr:spPr bwMode="auto">
        <a:xfrm>
          <a:off x="180975" y="1020603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Admin Remanco</a:t>
          </a:r>
        </a:p>
      </xdr:txBody>
    </xdr:sp>
    <xdr:clientData/>
  </xdr:oneCellAnchor>
  <xdr:oneCellAnchor>
    <xdr:from>
      <xdr:col>1</xdr:col>
      <xdr:colOff>0</xdr:colOff>
      <xdr:row>167</xdr:row>
      <xdr:rowOff>47625</xdr:rowOff>
    </xdr:from>
    <xdr:ext cx="2200275" cy="209550"/>
    <xdr:sp macro="" textlink="">
      <xdr:nvSpPr>
        <xdr:cNvPr id="331" name="AutoShape 155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SpPr>
          <a:spLocks noChangeArrowheads="1"/>
        </xdr:cNvSpPr>
      </xdr:nvSpPr>
      <xdr:spPr bwMode="auto">
        <a:xfrm>
          <a:off x="180975" y="102212775"/>
          <a:ext cx="2200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Hotel Promotion Remanco</a:t>
          </a:r>
        </a:p>
      </xdr:txBody>
    </xdr:sp>
    <xdr:clientData/>
  </xdr:oneCellAnchor>
  <xdr:oneCellAnchor>
    <xdr:from>
      <xdr:col>1</xdr:col>
      <xdr:colOff>0</xdr:colOff>
      <xdr:row>168</xdr:row>
      <xdr:rowOff>9525</xdr:rowOff>
    </xdr:from>
    <xdr:ext cx="866775" cy="209550"/>
    <xdr:sp macro="" textlink="">
      <xdr:nvSpPr>
        <xdr:cNvPr id="332" name="AutoShape 150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>
          <a:spLocks noChangeArrowheads="1"/>
        </xdr:cNvSpPr>
      </xdr:nvSpPr>
      <xdr:spPr bwMode="auto">
        <a:xfrm>
          <a:off x="180975" y="1023651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Compagnie</a:t>
          </a:r>
        </a:p>
      </xdr:txBody>
    </xdr:sp>
    <xdr:clientData/>
  </xdr:oneCellAnchor>
  <xdr:oneCellAnchor>
    <xdr:from>
      <xdr:col>1</xdr:col>
      <xdr:colOff>0</xdr:colOff>
      <xdr:row>168</xdr:row>
      <xdr:rowOff>161925</xdr:rowOff>
    </xdr:from>
    <xdr:ext cx="2009775" cy="209550"/>
    <xdr:sp macro="" textlink="">
      <xdr:nvSpPr>
        <xdr:cNvPr id="333" name="AutoShape 145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>
          <a:spLocks noChangeArrowheads="1"/>
        </xdr:cNvSpPr>
      </xdr:nvSpPr>
      <xdr:spPr bwMode="auto">
        <a:xfrm>
          <a:off x="180975" y="1025175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C.C. Promesse Service</a:t>
          </a:r>
        </a:p>
      </xdr:txBody>
    </xdr:sp>
    <xdr:clientData/>
  </xdr:oneCellAnchor>
  <xdr:oneCellAnchor>
    <xdr:from>
      <xdr:col>1</xdr:col>
      <xdr:colOff>0</xdr:colOff>
      <xdr:row>169</xdr:row>
      <xdr:rowOff>123825</xdr:rowOff>
    </xdr:from>
    <xdr:ext cx="1533525" cy="209550"/>
    <xdr:sp macro="" textlink="">
      <xdr:nvSpPr>
        <xdr:cNvPr id="334" name="AutoShape 140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>
          <a:spLocks noChangeArrowheads="1"/>
        </xdr:cNvSpPr>
      </xdr:nvSpPr>
      <xdr:spPr bwMode="auto">
        <a:xfrm>
          <a:off x="180975" y="102669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Mailing in Check</a:t>
          </a:r>
        </a:p>
      </xdr:txBody>
    </xdr:sp>
    <xdr:clientData/>
  </xdr:oneCellAnchor>
  <xdr:oneCellAnchor>
    <xdr:from>
      <xdr:col>1</xdr:col>
      <xdr:colOff>0</xdr:colOff>
      <xdr:row>170</xdr:row>
      <xdr:rowOff>85725</xdr:rowOff>
    </xdr:from>
    <xdr:ext cx="1914525" cy="209550"/>
    <xdr:sp macro="" textlink="">
      <xdr:nvSpPr>
        <xdr:cNvPr id="335" name="AutoShape 135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>
          <a:spLocks noChangeArrowheads="1"/>
        </xdr:cNvSpPr>
      </xdr:nvSpPr>
      <xdr:spPr bwMode="auto">
        <a:xfrm>
          <a:off x="0" y="1028223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 Settlements   </a:t>
          </a:r>
        </a:p>
      </xdr:txBody>
    </xdr:sp>
    <xdr:clientData/>
  </xdr:oneCellAnchor>
  <xdr:oneCellAnchor>
    <xdr:from>
      <xdr:col>1</xdr:col>
      <xdr:colOff>0</xdr:colOff>
      <xdr:row>172</xdr:row>
      <xdr:rowOff>9525</xdr:rowOff>
    </xdr:from>
    <xdr:ext cx="1914525" cy="209550"/>
    <xdr:sp macro="" textlink="">
      <xdr:nvSpPr>
        <xdr:cNvPr id="336" name="AutoShape 129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>
          <a:spLocks noChangeArrowheads="1"/>
        </xdr:cNvSpPr>
      </xdr:nvSpPr>
      <xdr:spPr bwMode="auto">
        <a:xfrm>
          <a:off x="180975" y="1031271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Comptant</a:t>
          </a:r>
        </a:p>
      </xdr:txBody>
    </xdr:sp>
    <xdr:clientData/>
  </xdr:oneCellAnchor>
  <xdr:oneCellAnchor>
    <xdr:from>
      <xdr:col>1</xdr:col>
      <xdr:colOff>0</xdr:colOff>
      <xdr:row>172</xdr:row>
      <xdr:rowOff>161925</xdr:rowOff>
    </xdr:from>
    <xdr:ext cx="1343025" cy="209550"/>
    <xdr:sp macro="" textlink="">
      <xdr:nvSpPr>
        <xdr:cNvPr id="337" name="AutoShape 124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>
          <a:spLocks noChangeArrowheads="1"/>
        </xdr:cNvSpPr>
      </xdr:nvSpPr>
      <xdr:spPr bwMode="auto">
        <a:xfrm>
          <a:off x="180975" y="1032795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AX</a:t>
          </a:r>
        </a:p>
      </xdr:txBody>
    </xdr:sp>
    <xdr:clientData/>
  </xdr:oneCellAnchor>
  <xdr:oneCellAnchor>
    <xdr:from>
      <xdr:col>1</xdr:col>
      <xdr:colOff>0</xdr:colOff>
      <xdr:row>173</xdr:row>
      <xdr:rowOff>123825</xdr:rowOff>
    </xdr:from>
    <xdr:ext cx="1533525" cy="209550"/>
    <xdr:sp macro="" textlink="">
      <xdr:nvSpPr>
        <xdr:cNvPr id="338" name="AutoShape 119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>
          <a:spLocks noChangeArrowheads="1"/>
        </xdr:cNvSpPr>
      </xdr:nvSpPr>
      <xdr:spPr bwMode="auto">
        <a:xfrm>
          <a:off x="180975" y="103431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Visa</a:t>
          </a:r>
        </a:p>
      </xdr:txBody>
    </xdr:sp>
    <xdr:clientData/>
  </xdr:oneCellAnchor>
  <xdr:oneCellAnchor>
    <xdr:from>
      <xdr:col>1</xdr:col>
      <xdr:colOff>0</xdr:colOff>
      <xdr:row>174</xdr:row>
      <xdr:rowOff>85725</xdr:rowOff>
    </xdr:from>
    <xdr:ext cx="2105025" cy="209550"/>
    <xdr:sp macro="" textlink="">
      <xdr:nvSpPr>
        <xdr:cNvPr id="339" name="AutoShape 114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>
          <a:spLocks noChangeArrowheads="1"/>
        </xdr:cNvSpPr>
      </xdr:nvSpPr>
      <xdr:spPr bwMode="auto">
        <a:xfrm>
          <a:off x="180975" y="103584375"/>
          <a:ext cx="2105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Mastercard</a:t>
          </a:r>
        </a:p>
      </xdr:txBody>
    </xdr:sp>
    <xdr:clientData/>
  </xdr:oneCellAnchor>
  <xdr:oneCellAnchor>
    <xdr:from>
      <xdr:col>1</xdr:col>
      <xdr:colOff>0</xdr:colOff>
      <xdr:row>175</xdr:row>
      <xdr:rowOff>47625</xdr:rowOff>
    </xdr:from>
    <xdr:ext cx="1724025" cy="209550"/>
    <xdr:sp macro="" textlink="">
      <xdr:nvSpPr>
        <xdr:cNvPr id="340" name="AutoShape 10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>
          <a:spLocks noChangeArrowheads="1"/>
        </xdr:cNvSpPr>
      </xdr:nvSpPr>
      <xdr:spPr bwMode="auto">
        <a:xfrm>
          <a:off x="180975" y="103736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Diners</a:t>
          </a:r>
        </a:p>
      </xdr:txBody>
    </xdr:sp>
    <xdr:clientData/>
  </xdr:oneCellAnchor>
  <xdr:oneCellAnchor>
    <xdr:from>
      <xdr:col>1</xdr:col>
      <xdr:colOff>0</xdr:colOff>
      <xdr:row>176</xdr:row>
      <xdr:rowOff>9525</xdr:rowOff>
    </xdr:from>
    <xdr:ext cx="1914525" cy="209550"/>
    <xdr:sp macro="" textlink="">
      <xdr:nvSpPr>
        <xdr:cNvPr id="341" name="AutoShape 104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>
          <a:spLocks noChangeArrowheads="1"/>
        </xdr:cNvSpPr>
      </xdr:nvSpPr>
      <xdr:spPr bwMode="auto">
        <a:xfrm>
          <a:off x="180975" y="1038891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Eurocard</a:t>
          </a:r>
        </a:p>
      </xdr:txBody>
    </xdr:sp>
    <xdr:clientData/>
  </xdr:oneCellAnchor>
  <xdr:oneCellAnchor>
    <xdr:from>
      <xdr:col>1</xdr:col>
      <xdr:colOff>0</xdr:colOff>
      <xdr:row>176</xdr:row>
      <xdr:rowOff>161925</xdr:rowOff>
    </xdr:from>
    <xdr:ext cx="2009775" cy="209550"/>
    <xdr:sp macro="" textlink="">
      <xdr:nvSpPr>
        <xdr:cNvPr id="342" name="AutoShape 99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>
          <a:spLocks noChangeArrowheads="1"/>
        </xdr:cNvSpPr>
      </xdr:nvSpPr>
      <xdr:spPr bwMode="auto">
        <a:xfrm>
          <a:off x="180975" y="1040415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Deposit Received - BF</a:t>
          </a:r>
        </a:p>
      </xdr:txBody>
    </xdr:sp>
    <xdr:clientData/>
  </xdr:oneCellAnchor>
  <xdr:oneCellAnchor>
    <xdr:from>
      <xdr:col>1</xdr:col>
      <xdr:colOff>0</xdr:colOff>
      <xdr:row>177</xdr:row>
      <xdr:rowOff>123825</xdr:rowOff>
    </xdr:from>
    <xdr:ext cx="2009775" cy="209550"/>
    <xdr:sp macro="" textlink="">
      <xdr:nvSpPr>
        <xdr:cNvPr id="343" name="AutoShape 94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>
          <a:spLocks noChangeArrowheads="1"/>
        </xdr:cNvSpPr>
      </xdr:nvSpPr>
      <xdr:spPr bwMode="auto">
        <a:xfrm>
          <a:off x="180975" y="1041939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Deposit Received - AA</a:t>
          </a:r>
        </a:p>
      </xdr:txBody>
    </xdr:sp>
    <xdr:clientData/>
  </xdr:oneCellAnchor>
  <xdr:oneCellAnchor>
    <xdr:from>
      <xdr:col>1</xdr:col>
      <xdr:colOff>0</xdr:colOff>
      <xdr:row>178</xdr:row>
      <xdr:rowOff>85725</xdr:rowOff>
    </xdr:from>
    <xdr:ext cx="2200275" cy="209550"/>
    <xdr:sp macro="" textlink="">
      <xdr:nvSpPr>
        <xdr:cNvPr id="344" name="AutoShape 89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>
          <a:spLocks noChangeArrowheads="1"/>
        </xdr:cNvSpPr>
      </xdr:nvSpPr>
      <xdr:spPr bwMode="auto">
        <a:xfrm>
          <a:off x="180975" y="104346375"/>
          <a:ext cx="2200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Carte Debit</a:t>
          </a:r>
        </a:p>
      </xdr:txBody>
    </xdr:sp>
    <xdr:clientData/>
  </xdr:oneCellAnchor>
  <xdr:oneCellAnchor>
    <xdr:from>
      <xdr:col>1</xdr:col>
      <xdr:colOff>0</xdr:colOff>
      <xdr:row>179</xdr:row>
      <xdr:rowOff>47625</xdr:rowOff>
    </xdr:from>
    <xdr:ext cx="1724025" cy="209550"/>
    <xdr:sp macro="" textlink="">
      <xdr:nvSpPr>
        <xdr:cNvPr id="345" name="AutoShape 84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>
          <a:spLocks noChangeArrowheads="1"/>
        </xdr:cNvSpPr>
      </xdr:nvSpPr>
      <xdr:spPr bwMode="auto">
        <a:xfrm>
          <a:off x="180975" y="104498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Cheque</a:t>
          </a:r>
        </a:p>
      </xdr:txBody>
    </xdr:sp>
    <xdr:clientData/>
  </xdr:oneCellAnchor>
  <xdr:oneCellAnchor>
    <xdr:from>
      <xdr:col>1</xdr:col>
      <xdr:colOff>0</xdr:colOff>
      <xdr:row>180</xdr:row>
      <xdr:rowOff>9525</xdr:rowOff>
    </xdr:from>
    <xdr:ext cx="1343025" cy="209550"/>
    <xdr:sp macro="" textlink="">
      <xdr:nvSpPr>
        <xdr:cNvPr id="346" name="AutoShape 79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>
          <a:spLocks noChangeArrowheads="1"/>
        </xdr:cNvSpPr>
      </xdr:nvSpPr>
      <xdr:spPr bwMode="auto">
        <a:xfrm>
          <a:off x="180975" y="104651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HP</a:t>
          </a:r>
        </a:p>
      </xdr:txBody>
    </xdr:sp>
    <xdr:clientData/>
  </xdr:oneCellAnchor>
  <xdr:oneCellAnchor>
    <xdr:from>
      <xdr:col>1</xdr:col>
      <xdr:colOff>0</xdr:colOff>
      <xdr:row>180</xdr:row>
      <xdr:rowOff>161925</xdr:rowOff>
    </xdr:from>
    <xdr:ext cx="1914525" cy="209550"/>
    <xdr:sp macro="" textlink="">
      <xdr:nvSpPr>
        <xdr:cNvPr id="347" name="AutoShape 74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>
          <a:spLocks noChangeArrowheads="1"/>
        </xdr:cNvSpPr>
      </xdr:nvSpPr>
      <xdr:spPr bwMode="auto">
        <a:xfrm>
          <a:off x="180975" y="1048035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En Route</a:t>
          </a:r>
        </a:p>
      </xdr:txBody>
    </xdr:sp>
    <xdr:clientData/>
  </xdr:oneCellAnchor>
  <xdr:oneCellAnchor>
    <xdr:from>
      <xdr:col>1</xdr:col>
      <xdr:colOff>0</xdr:colOff>
      <xdr:row>181</xdr:row>
      <xdr:rowOff>123825</xdr:rowOff>
    </xdr:from>
    <xdr:ext cx="1914525" cy="209550"/>
    <xdr:sp macro="" textlink="">
      <xdr:nvSpPr>
        <xdr:cNvPr id="348" name="AutoShape 69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>
          <a:spLocks noChangeArrowheads="1"/>
        </xdr:cNvSpPr>
      </xdr:nvSpPr>
      <xdr:spPr bwMode="auto">
        <a:xfrm>
          <a:off x="0" y="1049559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 Net Dep Rcvd  </a:t>
          </a:r>
        </a:p>
      </xdr:txBody>
    </xdr:sp>
    <xdr:clientData/>
  </xdr:oneCellAnchor>
  <xdr:oneCellAnchor>
    <xdr:from>
      <xdr:col>1</xdr:col>
      <xdr:colOff>0</xdr:colOff>
      <xdr:row>183</xdr:row>
      <xdr:rowOff>47625</xdr:rowOff>
    </xdr:from>
    <xdr:ext cx="1438275" cy="209550"/>
    <xdr:sp macro="" textlink="">
      <xdr:nvSpPr>
        <xdr:cNvPr id="349" name="AutoShape 63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SpPr>
          <a:spLocks noChangeArrowheads="1"/>
        </xdr:cNvSpPr>
      </xdr:nvSpPr>
      <xdr:spPr bwMode="auto">
        <a:xfrm>
          <a:off x="180975" y="1052607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Applied</a:t>
          </a:r>
        </a:p>
      </xdr:txBody>
    </xdr:sp>
    <xdr:clientData/>
  </xdr:oneCellAnchor>
  <xdr:oneCellAnchor>
    <xdr:from>
      <xdr:col>1</xdr:col>
      <xdr:colOff>0</xdr:colOff>
      <xdr:row>184</xdr:row>
      <xdr:rowOff>9525</xdr:rowOff>
    </xdr:from>
    <xdr:ext cx="1343025" cy="209550"/>
    <xdr:sp macro="" textlink="">
      <xdr:nvSpPr>
        <xdr:cNvPr id="350" name="AutoShape 58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>
          <a:spLocks noChangeArrowheads="1"/>
        </xdr:cNvSpPr>
      </xdr:nvSpPr>
      <xdr:spPr bwMode="auto">
        <a:xfrm>
          <a:off x="180975" y="105413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Cancel</a:t>
          </a:r>
        </a:p>
      </xdr:txBody>
    </xdr:sp>
    <xdr:clientData/>
  </xdr:oneCellAnchor>
  <xdr:oneCellAnchor>
    <xdr:from>
      <xdr:col>1</xdr:col>
      <xdr:colOff>0</xdr:colOff>
      <xdr:row>238</xdr:row>
      <xdr:rowOff>19050</xdr:rowOff>
    </xdr:from>
    <xdr:ext cx="1914525" cy="209550"/>
    <xdr:sp macro="" textlink="">
      <xdr:nvSpPr>
        <xdr:cNvPr id="351" name="AutoShape 53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>
          <a:spLocks noChangeArrowheads="1"/>
        </xdr:cNvSpPr>
      </xdr:nvSpPr>
      <xdr:spPr bwMode="auto">
        <a:xfrm>
          <a:off x="0" y="1157097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238</xdr:row>
      <xdr:rowOff>19050</xdr:rowOff>
    </xdr:from>
    <xdr:ext cx="1247775" cy="209550"/>
    <xdr:sp macro="" textlink="">
      <xdr:nvSpPr>
        <xdr:cNvPr id="352" name="AutoShape 52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>
          <a:spLocks noChangeArrowheads="1"/>
        </xdr:cNvSpPr>
      </xdr:nvSpPr>
      <xdr:spPr bwMode="auto">
        <a:xfrm>
          <a:off x="0" y="1157097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238</xdr:row>
      <xdr:rowOff>171450</xdr:rowOff>
    </xdr:from>
    <xdr:ext cx="1343025" cy="209550"/>
    <xdr:sp macro="" textlink="">
      <xdr:nvSpPr>
        <xdr:cNvPr id="353" name="AutoShape 50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>
          <a:spLocks noChangeArrowheads="1"/>
        </xdr:cNvSpPr>
      </xdr:nvSpPr>
      <xdr:spPr bwMode="auto">
        <a:xfrm>
          <a:off x="0" y="11586210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239</xdr:row>
      <xdr:rowOff>133350</xdr:rowOff>
    </xdr:from>
    <xdr:ext cx="771525" cy="209550"/>
    <xdr:sp macro="" textlink="">
      <xdr:nvSpPr>
        <xdr:cNvPr id="354" name="AutoShape 47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>
          <a:spLocks noChangeArrowheads="1"/>
        </xdr:cNvSpPr>
      </xdr:nvSpPr>
      <xdr:spPr bwMode="auto">
        <a:xfrm>
          <a:off x="0" y="1160145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239</xdr:row>
      <xdr:rowOff>133350</xdr:rowOff>
    </xdr:from>
    <xdr:ext cx="1819275" cy="209550"/>
    <xdr:sp macro="" textlink="">
      <xdr:nvSpPr>
        <xdr:cNvPr id="355" name="AutoShape 46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>
          <a:spLocks noChangeArrowheads="1"/>
        </xdr:cNvSpPr>
      </xdr:nvSpPr>
      <xdr:spPr bwMode="auto">
        <a:xfrm>
          <a:off x="0" y="11601450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241</xdr:row>
      <xdr:rowOff>57150</xdr:rowOff>
    </xdr:from>
    <xdr:ext cx="1057275" cy="209550"/>
    <xdr:sp macro="" textlink="">
      <xdr:nvSpPr>
        <xdr:cNvPr id="356" name="AutoShape 45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SpPr>
          <a:spLocks noChangeArrowheads="1"/>
        </xdr:cNvSpPr>
      </xdr:nvSpPr>
      <xdr:spPr bwMode="auto">
        <a:xfrm>
          <a:off x="0" y="1163193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243</xdr:row>
      <xdr:rowOff>133350</xdr:rowOff>
    </xdr:from>
    <xdr:ext cx="1057275" cy="209550"/>
    <xdr:sp macro="" textlink="">
      <xdr:nvSpPr>
        <xdr:cNvPr id="357" name="AutoShape 37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>
          <a:spLocks noChangeArrowheads="1"/>
        </xdr:cNvSpPr>
      </xdr:nvSpPr>
      <xdr:spPr bwMode="auto">
        <a:xfrm>
          <a:off x="180975" y="1167765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DNA</a:t>
          </a:r>
        </a:p>
      </xdr:txBody>
    </xdr:sp>
    <xdr:clientData/>
  </xdr:oneCellAnchor>
  <xdr:oneCellAnchor>
    <xdr:from>
      <xdr:col>1</xdr:col>
      <xdr:colOff>0</xdr:colOff>
      <xdr:row>244</xdr:row>
      <xdr:rowOff>95250</xdr:rowOff>
    </xdr:from>
    <xdr:ext cx="1628775" cy="209550"/>
    <xdr:sp macro="" textlink="">
      <xdr:nvSpPr>
        <xdr:cNvPr id="358" name="AutoShape 32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>
          <a:spLocks noChangeArrowheads="1"/>
        </xdr:cNvSpPr>
      </xdr:nvSpPr>
      <xdr:spPr bwMode="auto">
        <a:xfrm>
          <a:off x="180975" y="1169289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InterHotel XferIn</a:t>
          </a:r>
        </a:p>
      </xdr:txBody>
    </xdr:sp>
    <xdr:clientData/>
  </xdr:oneCellAnchor>
  <xdr:oneCellAnchor>
    <xdr:from>
      <xdr:col>1</xdr:col>
      <xdr:colOff>0</xdr:colOff>
      <xdr:row>245</xdr:row>
      <xdr:rowOff>57150</xdr:rowOff>
    </xdr:from>
    <xdr:ext cx="1724025" cy="209550"/>
    <xdr:sp macro="" textlink="">
      <xdr:nvSpPr>
        <xdr:cNvPr id="359" name="AutoShape 27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>
          <a:spLocks noChangeArrowheads="1"/>
        </xdr:cNvSpPr>
      </xdr:nvSpPr>
      <xdr:spPr bwMode="auto">
        <a:xfrm>
          <a:off x="180975" y="1170813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InterHotel XferOut</a:t>
          </a:r>
        </a:p>
      </xdr:txBody>
    </xdr:sp>
    <xdr:clientData/>
  </xdr:oneCellAnchor>
  <xdr:oneCellAnchor>
    <xdr:from>
      <xdr:col>1</xdr:col>
      <xdr:colOff>0</xdr:colOff>
      <xdr:row>246</xdr:row>
      <xdr:rowOff>19050</xdr:rowOff>
    </xdr:from>
    <xdr:ext cx="1628775" cy="209550"/>
    <xdr:sp macro="" textlink="">
      <xdr:nvSpPr>
        <xdr:cNvPr id="360" name="AutoShape 22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>
          <a:spLocks noChangeArrowheads="1"/>
        </xdr:cNvSpPr>
      </xdr:nvSpPr>
      <xdr:spPr bwMode="auto">
        <a:xfrm>
          <a:off x="180975" y="1172337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Transferred to AR</a:t>
          </a:r>
        </a:p>
      </xdr:txBody>
    </xdr:sp>
    <xdr:clientData/>
  </xdr:oneCellAnchor>
  <xdr:oneCellAnchor>
    <xdr:from>
      <xdr:col>1</xdr:col>
      <xdr:colOff>0</xdr:colOff>
      <xdr:row>246</xdr:row>
      <xdr:rowOff>171450</xdr:rowOff>
    </xdr:from>
    <xdr:ext cx="1152525" cy="209550"/>
    <xdr:sp macro="" textlink="">
      <xdr:nvSpPr>
        <xdr:cNvPr id="361" name="AutoShape 17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>
          <a:spLocks noChangeArrowheads="1"/>
        </xdr:cNvSpPr>
      </xdr:nvSpPr>
      <xdr:spPr bwMode="auto">
        <a:xfrm>
          <a:off x="180975" y="117386100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$$$ Transfer</a:t>
          </a:r>
        </a:p>
      </xdr:txBody>
    </xdr:sp>
    <xdr:clientData/>
  </xdr:oneCellAnchor>
  <xdr:oneCellAnchor>
    <xdr:from>
      <xdr:col>1</xdr:col>
      <xdr:colOff>0</xdr:colOff>
      <xdr:row>247</xdr:row>
      <xdr:rowOff>133350</xdr:rowOff>
    </xdr:from>
    <xdr:ext cx="104775" cy="209550"/>
    <xdr:sp macro="" textlink="">
      <xdr:nvSpPr>
        <xdr:cNvPr id="362" name="AutoShape 12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>
          <a:spLocks noChangeArrowheads="1"/>
        </xdr:cNvSpPr>
      </xdr:nvSpPr>
      <xdr:spPr bwMode="auto">
        <a:xfrm>
          <a:off x="0" y="1175385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248</xdr:row>
      <xdr:rowOff>95250</xdr:rowOff>
    </xdr:from>
    <xdr:ext cx="1247775" cy="209550"/>
    <xdr:sp macro="" textlink="">
      <xdr:nvSpPr>
        <xdr:cNvPr id="363" name="AutoShape 11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>
          <a:spLocks noChangeArrowheads="1"/>
        </xdr:cNvSpPr>
      </xdr:nvSpPr>
      <xdr:spPr bwMode="auto">
        <a:xfrm>
          <a:off x="180975" y="1176909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Today</a:t>
          </a:r>
        </a:p>
      </xdr:txBody>
    </xdr:sp>
    <xdr:clientData/>
  </xdr:oneCellAnchor>
  <xdr:oneCellAnchor>
    <xdr:from>
      <xdr:col>1</xdr:col>
      <xdr:colOff>0</xdr:colOff>
      <xdr:row>249</xdr:row>
      <xdr:rowOff>57150</xdr:rowOff>
    </xdr:from>
    <xdr:ext cx="1533525" cy="209550"/>
    <xdr:sp macro="" textlink="">
      <xdr:nvSpPr>
        <xdr:cNvPr id="364" name="AutoShape 9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SpPr>
          <a:spLocks noChangeArrowheads="1"/>
        </xdr:cNvSpPr>
      </xdr:nvSpPr>
      <xdr:spPr bwMode="auto">
        <a:xfrm>
          <a:off x="180975" y="11784330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Prev Day</a:t>
          </a:r>
        </a:p>
      </xdr:txBody>
    </xdr:sp>
    <xdr:clientData/>
  </xdr:oneCellAnchor>
  <xdr:oneCellAnchor>
    <xdr:from>
      <xdr:col>1</xdr:col>
      <xdr:colOff>0</xdr:colOff>
      <xdr:row>250</xdr:row>
      <xdr:rowOff>19050</xdr:rowOff>
    </xdr:from>
    <xdr:ext cx="1914525" cy="209550"/>
    <xdr:sp macro="" textlink="">
      <xdr:nvSpPr>
        <xdr:cNvPr id="365" name="AutoShape 7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>
          <a:spLocks noChangeArrowheads="1"/>
        </xdr:cNvSpPr>
      </xdr:nvSpPr>
      <xdr:spPr bwMode="auto">
        <a:xfrm>
          <a:off x="180975" y="1179957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 Hotel Moved In</a:t>
          </a:r>
        </a:p>
      </xdr:txBody>
    </xdr:sp>
    <xdr:clientData/>
  </xdr:oneCellAnchor>
  <xdr:oneCellAnchor>
    <xdr:from>
      <xdr:col>1</xdr:col>
      <xdr:colOff>0</xdr:colOff>
      <xdr:row>250</xdr:row>
      <xdr:rowOff>171450</xdr:rowOff>
    </xdr:from>
    <xdr:ext cx="2009775" cy="209550"/>
    <xdr:sp macro="" textlink="">
      <xdr:nvSpPr>
        <xdr:cNvPr id="366" name="AutoShape 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>
          <a:spLocks noChangeArrowheads="1"/>
        </xdr:cNvSpPr>
      </xdr:nvSpPr>
      <xdr:spPr bwMode="auto">
        <a:xfrm>
          <a:off x="180975" y="118148100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 Hotel Moved Out</a:t>
          </a:r>
        </a:p>
      </xdr:txBody>
    </xdr:sp>
    <xdr:clientData/>
  </xdr:oneCellAnchor>
  <xdr:oneCellAnchor>
    <xdr:from>
      <xdr:col>1</xdr:col>
      <xdr:colOff>0</xdr:colOff>
      <xdr:row>251</xdr:row>
      <xdr:rowOff>133350</xdr:rowOff>
    </xdr:from>
    <xdr:ext cx="1057275" cy="209550"/>
    <xdr:sp macro="" textlink="">
      <xdr:nvSpPr>
        <xdr:cNvPr id="367" name="AutoShape 3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>
          <a:spLocks noChangeArrowheads="1"/>
        </xdr:cNvSpPr>
      </xdr:nvSpPr>
      <xdr:spPr bwMode="auto">
        <a:xfrm>
          <a:off x="180975" y="1183005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New Balance</a:t>
          </a:r>
        </a:p>
      </xdr:txBody>
    </xdr:sp>
    <xdr:clientData/>
  </xdr:oneCellAnchor>
  <xdr:oneCellAnchor>
    <xdr:from>
      <xdr:col>1</xdr:col>
      <xdr:colOff>0</xdr:colOff>
      <xdr:row>252</xdr:row>
      <xdr:rowOff>95250</xdr:rowOff>
    </xdr:from>
    <xdr:ext cx="1247775" cy="209550"/>
    <xdr:sp macro="" textlink="">
      <xdr:nvSpPr>
        <xdr:cNvPr id="368" name="AutoShape 1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SpPr>
          <a:spLocks noChangeArrowheads="1"/>
        </xdr:cNvSpPr>
      </xdr:nvSpPr>
      <xdr:spPr bwMode="auto">
        <a:xfrm>
          <a:off x="0" y="1184529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End of Report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47625</xdr:rowOff>
        </xdr:from>
        <xdr:to>
          <xdr:col>4</xdr:col>
          <xdr:colOff>409575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à 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47625</xdr:rowOff>
    </xdr:from>
    <xdr:ext cx="1628775" cy="209550"/>
    <xdr:sp macro="" textlink="">
      <xdr:nvSpPr>
        <xdr:cNvPr id="8" name="AutoShape 220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15049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NOT SPECIFIED *</a:t>
          </a:r>
        </a:p>
      </xdr:txBody>
    </xdr:sp>
    <xdr:clientData/>
  </xdr:oneCellAnchor>
  <xdr:oneCellAnchor>
    <xdr:from>
      <xdr:col>0</xdr:col>
      <xdr:colOff>0</xdr:colOff>
      <xdr:row>4</xdr:row>
      <xdr:rowOff>28575</xdr:rowOff>
    </xdr:from>
    <xdr:ext cx="1724025" cy="209550"/>
    <xdr:sp macro="" textlink="">
      <xdr:nvSpPr>
        <xdr:cNvPr id="9" name="AutoShape 21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18097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T10   Premium Reta</a:t>
          </a:r>
        </a:p>
      </xdr:txBody>
    </xdr:sp>
    <xdr:clientData/>
  </xdr:oneCellAnchor>
  <xdr:oneCellAnchor>
    <xdr:from>
      <xdr:col>0</xdr:col>
      <xdr:colOff>0</xdr:colOff>
      <xdr:row>5</xdr:row>
      <xdr:rowOff>38100</xdr:rowOff>
    </xdr:from>
    <xdr:ext cx="771525" cy="209550"/>
    <xdr:sp macro="" textlink="">
      <xdr:nvSpPr>
        <xdr:cNvPr id="10" name="AutoShape 218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100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1724025" cy="209550"/>
    <xdr:sp macro="" textlink="">
      <xdr:nvSpPr>
        <xdr:cNvPr id="11" name="AutoShape 217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22669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T11   Airline Dist</a:t>
          </a:r>
        </a:p>
      </xdr:txBody>
    </xdr:sp>
    <xdr:clientData/>
  </xdr:oneCellAnchor>
  <xdr:oneCellAnchor>
    <xdr:from>
      <xdr:col>0</xdr:col>
      <xdr:colOff>0</xdr:colOff>
      <xdr:row>8</xdr:row>
      <xdr:rowOff>19050</xdr:rowOff>
    </xdr:from>
    <xdr:ext cx="1724025" cy="209550"/>
    <xdr:sp macro="" textlink="">
      <xdr:nvSpPr>
        <xdr:cNvPr id="12" name="AutoShape 216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15525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T12   Standard Ret</a:t>
          </a:r>
        </a:p>
      </xdr:txBody>
    </xdr:sp>
    <xdr:clientData/>
  </xdr:oneCellAnchor>
  <xdr:oneCellAnchor>
    <xdr:from>
      <xdr:col>0</xdr:col>
      <xdr:colOff>0</xdr:colOff>
      <xdr:row>9</xdr:row>
      <xdr:rowOff>38100</xdr:rowOff>
    </xdr:from>
    <xdr:ext cx="771525" cy="209550"/>
    <xdr:sp macro="" textlink="">
      <xdr:nvSpPr>
        <xdr:cNvPr id="13" name="AutoShape 215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1762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</xdr:row>
      <xdr:rowOff>28575</xdr:rowOff>
    </xdr:from>
    <xdr:ext cx="1724025" cy="209550"/>
    <xdr:sp macro="" textlink="">
      <xdr:nvSpPr>
        <xdr:cNvPr id="14" name="AutoShape 213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2133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T14   HOLD FOR REV</a:t>
          </a:r>
        </a:p>
      </xdr:txBody>
    </xdr:sp>
    <xdr:clientData/>
  </xdr:oneCellAnchor>
  <xdr:oneCellAnchor>
    <xdr:from>
      <xdr:col>0</xdr:col>
      <xdr:colOff>0</xdr:colOff>
      <xdr:row>12</xdr:row>
      <xdr:rowOff>38100</xdr:rowOff>
    </xdr:from>
    <xdr:ext cx="1724025" cy="209550"/>
    <xdr:sp macro="" textlink="">
      <xdr:nvSpPr>
        <xdr:cNvPr id="15" name="AutoShape 212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0" y="2333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T15   Associate Bu</a:t>
          </a:r>
        </a:p>
      </xdr:txBody>
    </xdr:sp>
    <xdr:clientData/>
  </xdr:oneCellAnchor>
  <xdr:oneCellAnchor>
    <xdr:from>
      <xdr:col>0</xdr:col>
      <xdr:colOff>0</xdr:colOff>
      <xdr:row>13</xdr:row>
      <xdr:rowOff>38100</xdr:rowOff>
    </xdr:from>
    <xdr:ext cx="1533525" cy="209550"/>
    <xdr:sp macro="" textlink="">
      <xdr:nvSpPr>
        <xdr:cNvPr id="16" name="AutoShape 2116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0" y="252412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T16   Government</a:t>
          </a:r>
        </a:p>
      </xdr:txBody>
    </xdr:sp>
    <xdr:clientData/>
  </xdr:oneCellAnchor>
  <xdr:oneCellAnchor>
    <xdr:from>
      <xdr:col>0</xdr:col>
      <xdr:colOff>0</xdr:colOff>
      <xdr:row>14</xdr:row>
      <xdr:rowOff>38100</xdr:rowOff>
    </xdr:from>
    <xdr:ext cx="771525" cy="209550"/>
    <xdr:sp macro="" textlink="">
      <xdr:nvSpPr>
        <xdr:cNvPr id="17" name="AutoShape 210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0" y="2714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16</xdr:row>
      <xdr:rowOff>19050</xdr:rowOff>
    </xdr:from>
    <xdr:ext cx="1724025" cy="209550"/>
    <xdr:sp macro="" textlink="">
      <xdr:nvSpPr>
        <xdr:cNvPr id="18" name="AutoShape 2093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19050" y="3267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T17   Special Corp</a:t>
          </a:r>
        </a:p>
      </xdr:txBody>
    </xdr:sp>
    <xdr:clientData/>
  </xdr:oneCellAnchor>
  <xdr:oneCellAnchor>
    <xdr:from>
      <xdr:col>0</xdr:col>
      <xdr:colOff>19050</xdr:colOff>
      <xdr:row>17</xdr:row>
      <xdr:rowOff>38100</xdr:rowOff>
    </xdr:from>
    <xdr:ext cx="1724025" cy="209550"/>
    <xdr:sp macro="" textlink="">
      <xdr:nvSpPr>
        <xdr:cNvPr id="19" name="AutoShape 208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9050" y="3476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T18   Spec Corp Di</a:t>
          </a:r>
        </a:p>
      </xdr:txBody>
    </xdr:sp>
    <xdr:clientData/>
  </xdr:oneCellAnchor>
  <xdr:oneCellAnchor>
    <xdr:from>
      <xdr:col>0</xdr:col>
      <xdr:colOff>0</xdr:colOff>
      <xdr:row>18</xdr:row>
      <xdr:rowOff>57150</xdr:rowOff>
    </xdr:from>
    <xdr:ext cx="771525" cy="209550"/>
    <xdr:sp macro="" textlink="">
      <xdr:nvSpPr>
        <xdr:cNvPr id="20" name="AutoShape 207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0" y="39433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20</xdr:row>
      <xdr:rowOff>38100</xdr:rowOff>
    </xdr:from>
    <xdr:ext cx="1724025" cy="209550"/>
    <xdr:sp macro="" textlink="">
      <xdr:nvSpPr>
        <xdr:cNvPr id="21" name="AutoShape 205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0" y="4248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T19   Long Term St</a:t>
          </a:r>
        </a:p>
      </xdr:txBody>
    </xdr:sp>
    <xdr:clientData/>
  </xdr:oneCellAnchor>
  <xdr:oneCellAnchor>
    <xdr:from>
      <xdr:col>0</xdr:col>
      <xdr:colOff>0</xdr:colOff>
      <xdr:row>21</xdr:row>
      <xdr:rowOff>28575</xdr:rowOff>
    </xdr:from>
    <xdr:ext cx="1724025" cy="209550"/>
    <xdr:sp macro="" textlink="">
      <xdr:nvSpPr>
        <xdr:cNvPr id="22" name="AutoShape 2048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0" y="44005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T23   Hotel Breakf</a:t>
          </a:r>
        </a:p>
      </xdr:txBody>
    </xdr:sp>
    <xdr:clientData/>
  </xdr:oneCellAnchor>
  <xdr:oneCellAnchor>
    <xdr:from>
      <xdr:col>0</xdr:col>
      <xdr:colOff>0</xdr:colOff>
      <xdr:row>22</xdr:row>
      <xdr:rowOff>19050</xdr:rowOff>
    </xdr:from>
    <xdr:ext cx="1724025" cy="209550"/>
    <xdr:sp macro="" textlink="">
      <xdr:nvSpPr>
        <xdr:cNvPr id="23" name="AutoShape 2037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0" y="45529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T20   Weekend Stan</a:t>
          </a:r>
        </a:p>
      </xdr:txBody>
    </xdr:sp>
    <xdr:clientData/>
  </xdr:oneCellAnchor>
  <xdr:oneCellAnchor>
    <xdr:from>
      <xdr:col>0</xdr:col>
      <xdr:colOff>0</xdr:colOff>
      <xdr:row>23</xdr:row>
      <xdr:rowOff>28575</xdr:rowOff>
    </xdr:from>
    <xdr:ext cx="1724025" cy="209550"/>
    <xdr:sp macro="" textlink="">
      <xdr:nvSpPr>
        <xdr:cNvPr id="24" name="AutoShape 2026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0" y="4229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T22   Luxury Conso</a:t>
          </a:r>
        </a:p>
      </xdr:txBody>
    </xdr:sp>
    <xdr:clientData/>
  </xdr:oneCellAnchor>
  <xdr:oneCellAnchor>
    <xdr:from>
      <xdr:col>0</xdr:col>
      <xdr:colOff>0</xdr:colOff>
      <xdr:row>24</xdr:row>
      <xdr:rowOff>28575</xdr:rowOff>
    </xdr:from>
    <xdr:ext cx="1628775" cy="209550"/>
    <xdr:sp macro="" textlink="">
      <xdr:nvSpPr>
        <xdr:cNvPr id="25" name="AutoShape 2015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0" y="44196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T21   Hotel Value</a:t>
          </a:r>
        </a:p>
      </xdr:txBody>
    </xdr:sp>
    <xdr:clientData/>
  </xdr:oneCellAnchor>
  <xdr:oneCellAnchor>
    <xdr:from>
      <xdr:col>0</xdr:col>
      <xdr:colOff>0</xdr:colOff>
      <xdr:row>25</xdr:row>
      <xdr:rowOff>28575</xdr:rowOff>
    </xdr:from>
    <xdr:ext cx="1724025" cy="209550"/>
    <xdr:sp macro="" textlink="">
      <xdr:nvSpPr>
        <xdr:cNvPr id="26" name="AutoShape 200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0" y="4610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T24   Hotel Breakf</a:t>
          </a:r>
        </a:p>
      </xdr:txBody>
    </xdr:sp>
    <xdr:clientData/>
  </xdr:oneCellAnchor>
  <xdr:oneCellAnchor>
    <xdr:from>
      <xdr:col>0</xdr:col>
      <xdr:colOff>0</xdr:colOff>
      <xdr:row>26</xdr:row>
      <xdr:rowOff>38100</xdr:rowOff>
    </xdr:from>
    <xdr:ext cx="771525" cy="209550"/>
    <xdr:sp macro="" textlink="">
      <xdr:nvSpPr>
        <xdr:cNvPr id="27" name="AutoShape 1993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0" y="481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28</xdr:row>
      <xdr:rowOff>28575</xdr:rowOff>
    </xdr:from>
    <xdr:ext cx="1724025" cy="209550"/>
    <xdr:sp macro="" textlink="">
      <xdr:nvSpPr>
        <xdr:cNvPr id="28" name="AutoShape 198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0" y="5181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T25   Rewards Rede</a:t>
          </a:r>
        </a:p>
      </xdr:txBody>
    </xdr:sp>
    <xdr:clientData/>
  </xdr:oneCellAnchor>
  <xdr:oneCellAnchor>
    <xdr:from>
      <xdr:col>0</xdr:col>
      <xdr:colOff>0</xdr:colOff>
      <xdr:row>29</xdr:row>
      <xdr:rowOff>19050</xdr:rowOff>
    </xdr:from>
    <xdr:ext cx="771525" cy="209550"/>
    <xdr:sp macro="" textlink="">
      <xdr:nvSpPr>
        <xdr:cNvPr id="29" name="AutoShape 1970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0" y="53625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31</xdr:row>
      <xdr:rowOff>28575</xdr:rowOff>
    </xdr:from>
    <xdr:ext cx="1724025" cy="209550"/>
    <xdr:sp macro="" textlink="">
      <xdr:nvSpPr>
        <xdr:cNvPr id="30" name="AutoShape 195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0" y="5753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T27   Quarter Cent</a:t>
          </a:r>
        </a:p>
      </xdr:txBody>
    </xdr:sp>
    <xdr:clientData/>
  </xdr:oneCellAnchor>
  <xdr:oneCellAnchor>
    <xdr:from>
      <xdr:col>0</xdr:col>
      <xdr:colOff>0</xdr:colOff>
      <xdr:row>32</xdr:row>
      <xdr:rowOff>28575</xdr:rowOff>
    </xdr:from>
    <xdr:ext cx="1724025" cy="209550"/>
    <xdr:sp macro="" textlink="">
      <xdr:nvSpPr>
        <xdr:cNvPr id="31" name="AutoShape 194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0" y="5943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T28   Associate Le</a:t>
          </a:r>
        </a:p>
      </xdr:txBody>
    </xdr:sp>
    <xdr:clientData/>
  </xdr:oneCellAnchor>
  <xdr:oneCellAnchor>
    <xdr:from>
      <xdr:col>0</xdr:col>
      <xdr:colOff>0</xdr:colOff>
      <xdr:row>33</xdr:row>
      <xdr:rowOff>9525</xdr:rowOff>
    </xdr:from>
    <xdr:ext cx="771525" cy="209550"/>
    <xdr:sp macro="" textlink="">
      <xdr:nvSpPr>
        <xdr:cNvPr id="32" name="AutoShape 1936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0" y="6115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35</xdr:row>
      <xdr:rowOff>38100</xdr:rowOff>
    </xdr:from>
    <xdr:ext cx="1724025" cy="209550"/>
    <xdr:sp macro="" textlink="">
      <xdr:nvSpPr>
        <xdr:cNvPr id="33" name="AutoShape 1924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0" y="6524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T29   Travel Indus</a:t>
          </a:r>
        </a:p>
      </xdr:txBody>
    </xdr:sp>
    <xdr:clientData/>
  </xdr:oneCellAnchor>
  <xdr:oneCellAnchor>
    <xdr:from>
      <xdr:col>0</xdr:col>
      <xdr:colOff>0</xdr:colOff>
      <xdr:row>36</xdr:row>
      <xdr:rowOff>38100</xdr:rowOff>
    </xdr:from>
    <xdr:ext cx="1724025" cy="209550"/>
    <xdr:sp macro="" textlink="">
      <xdr:nvSpPr>
        <xdr:cNvPr id="34" name="AutoShape 191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0" y="6715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T30   eChannel Pre</a:t>
          </a:r>
        </a:p>
      </xdr:txBody>
    </xdr:sp>
    <xdr:clientData/>
  </xdr:oneCellAnchor>
  <xdr:oneCellAnchor>
    <xdr:from>
      <xdr:col>0</xdr:col>
      <xdr:colOff>0</xdr:colOff>
      <xdr:row>37</xdr:row>
      <xdr:rowOff>47625</xdr:rowOff>
    </xdr:from>
    <xdr:ext cx="1628775" cy="209550"/>
    <xdr:sp macro="" textlink="">
      <xdr:nvSpPr>
        <xdr:cNvPr id="35" name="AutoShape 1902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0" y="69151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T33   Promotion /</a:t>
          </a:r>
        </a:p>
      </xdr:txBody>
    </xdr:sp>
    <xdr:clientData/>
  </xdr:oneCellAnchor>
  <xdr:oneCellAnchor>
    <xdr:from>
      <xdr:col>0</xdr:col>
      <xdr:colOff>0</xdr:colOff>
      <xdr:row>38</xdr:row>
      <xdr:rowOff>47625</xdr:rowOff>
    </xdr:from>
    <xdr:ext cx="1724025" cy="209550"/>
    <xdr:sp macro="" textlink="">
      <xdr:nvSpPr>
        <xdr:cNvPr id="36" name="AutoShape 189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0" y="7105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T34   eChannel Ret</a:t>
          </a:r>
        </a:p>
      </xdr:txBody>
    </xdr:sp>
    <xdr:clientData/>
  </xdr:oneCellAnchor>
  <xdr:oneCellAnchor>
    <xdr:from>
      <xdr:col>0</xdr:col>
      <xdr:colOff>0</xdr:colOff>
      <xdr:row>39</xdr:row>
      <xdr:rowOff>38100</xdr:rowOff>
    </xdr:from>
    <xdr:ext cx="771525" cy="209550"/>
    <xdr:sp macro="" textlink="">
      <xdr:nvSpPr>
        <xdr:cNvPr id="37" name="AutoShape 1880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0" y="7286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41</xdr:row>
      <xdr:rowOff>47625</xdr:rowOff>
    </xdr:from>
    <xdr:ext cx="1724025" cy="209550"/>
    <xdr:sp macro="" textlink="">
      <xdr:nvSpPr>
        <xdr:cNvPr id="38" name="AutoShape 1868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9050" y="7677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T35   Advance Purc</a:t>
          </a:r>
        </a:p>
      </xdr:txBody>
    </xdr:sp>
    <xdr:clientData/>
  </xdr:oneCellAnchor>
  <xdr:oneCellAnchor>
    <xdr:from>
      <xdr:col>0</xdr:col>
      <xdr:colOff>9525</xdr:colOff>
      <xdr:row>42</xdr:row>
      <xdr:rowOff>47625</xdr:rowOff>
    </xdr:from>
    <xdr:ext cx="1724025" cy="209550"/>
    <xdr:sp macro="" textlink="">
      <xdr:nvSpPr>
        <xdr:cNvPr id="39" name="AutoShape 185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rrowheads="1"/>
        </xdr:cNvSpPr>
      </xdr:nvSpPr>
      <xdr:spPr bwMode="auto">
        <a:xfrm>
          <a:off x="9525" y="7867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T40   Rewards Offe</a:t>
          </a:r>
        </a:p>
      </xdr:txBody>
    </xdr:sp>
    <xdr:clientData/>
  </xdr:oneCellAnchor>
  <xdr:oneCellAnchor>
    <xdr:from>
      <xdr:col>0</xdr:col>
      <xdr:colOff>9525</xdr:colOff>
      <xdr:row>43</xdr:row>
      <xdr:rowOff>57150</xdr:rowOff>
    </xdr:from>
    <xdr:ext cx="1724025" cy="209550"/>
    <xdr:sp macro="" textlink="">
      <xdr:nvSpPr>
        <xdr:cNvPr id="40" name="AutoShape 1846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rrowheads="1"/>
        </xdr:cNvSpPr>
      </xdr:nvSpPr>
      <xdr:spPr bwMode="auto">
        <a:xfrm>
          <a:off x="9525" y="8067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T41   Rewards Offe</a:t>
          </a:r>
        </a:p>
      </xdr:txBody>
    </xdr:sp>
    <xdr:clientData/>
  </xdr:oneCellAnchor>
  <xdr:oneCellAnchor>
    <xdr:from>
      <xdr:col>0</xdr:col>
      <xdr:colOff>19050</xdr:colOff>
      <xdr:row>44</xdr:row>
      <xdr:rowOff>28575</xdr:rowOff>
    </xdr:from>
    <xdr:ext cx="1724025" cy="209550"/>
    <xdr:sp macro="" textlink="">
      <xdr:nvSpPr>
        <xdr:cNvPr id="41" name="AutoShape 1835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19050" y="8229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T42   Auto Assn Of</a:t>
          </a:r>
        </a:p>
      </xdr:txBody>
    </xdr:sp>
    <xdr:clientData/>
  </xdr:oneCellAnchor>
  <xdr:oneCellAnchor>
    <xdr:from>
      <xdr:col>0</xdr:col>
      <xdr:colOff>0</xdr:colOff>
      <xdr:row>45</xdr:row>
      <xdr:rowOff>9525</xdr:rowOff>
    </xdr:from>
    <xdr:ext cx="771525" cy="209550"/>
    <xdr:sp macro="" textlink="">
      <xdr:nvSpPr>
        <xdr:cNvPr id="42" name="AutoShape 1824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rrowheads="1"/>
        </xdr:cNvSpPr>
      </xdr:nvSpPr>
      <xdr:spPr bwMode="auto">
        <a:xfrm>
          <a:off x="0" y="8401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28575</xdr:colOff>
      <xdr:row>47</xdr:row>
      <xdr:rowOff>66675</xdr:rowOff>
    </xdr:from>
    <xdr:ext cx="1724025" cy="209550"/>
    <xdr:sp macro="" textlink="">
      <xdr:nvSpPr>
        <xdr:cNvPr id="43" name="AutoShape 181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Arrowheads="1"/>
        </xdr:cNvSpPr>
      </xdr:nvSpPr>
      <xdr:spPr bwMode="auto">
        <a:xfrm>
          <a:off x="28575" y="88392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T43   Senior Disco</a:t>
          </a:r>
        </a:p>
      </xdr:txBody>
    </xdr:sp>
    <xdr:clientData/>
  </xdr:oneCellAnchor>
  <xdr:oneCellAnchor>
    <xdr:from>
      <xdr:col>0</xdr:col>
      <xdr:colOff>28575</xdr:colOff>
      <xdr:row>48</xdr:row>
      <xdr:rowOff>38100</xdr:rowOff>
    </xdr:from>
    <xdr:ext cx="771525" cy="209550"/>
    <xdr:sp macro="" textlink="">
      <xdr:nvSpPr>
        <xdr:cNvPr id="44" name="AutoShape 180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>
          <a:spLocks noChangeArrowheads="1"/>
        </xdr:cNvSpPr>
      </xdr:nvSpPr>
      <xdr:spPr bwMode="auto">
        <a:xfrm>
          <a:off x="28575" y="9001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50</xdr:row>
      <xdr:rowOff>47625</xdr:rowOff>
    </xdr:from>
    <xdr:ext cx="1628775" cy="209550"/>
    <xdr:sp macro="" textlink="">
      <xdr:nvSpPr>
        <xdr:cNvPr id="45" name="AutoShape 1789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>
          <a:spLocks noChangeArrowheads="1"/>
        </xdr:cNvSpPr>
      </xdr:nvSpPr>
      <xdr:spPr bwMode="auto">
        <a:xfrm>
          <a:off x="19050" y="93916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T44   Friends And</a:t>
          </a:r>
        </a:p>
      </xdr:txBody>
    </xdr:sp>
    <xdr:clientData/>
  </xdr:oneCellAnchor>
  <xdr:oneCellAnchor>
    <xdr:from>
      <xdr:col>0</xdr:col>
      <xdr:colOff>19050</xdr:colOff>
      <xdr:row>51</xdr:row>
      <xdr:rowOff>38100</xdr:rowOff>
    </xdr:from>
    <xdr:ext cx="1724025" cy="209550"/>
    <xdr:sp macro="" textlink="">
      <xdr:nvSpPr>
        <xdr:cNvPr id="46" name="AutoShape 1778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rrowheads="1"/>
        </xdr:cNvSpPr>
      </xdr:nvSpPr>
      <xdr:spPr bwMode="auto">
        <a:xfrm>
          <a:off x="19050" y="9572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T90   Long Term St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914525" cy="209550"/>
    <xdr:sp macro="" textlink="">
      <xdr:nvSpPr>
        <xdr:cNvPr id="47" name="AutoShape 176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2390775" cy="209550"/>
    <xdr:sp macro="" textlink="">
      <xdr:nvSpPr>
        <xdr:cNvPr id="48" name="AutoShape 1766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Market Segment Production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49" name="AutoShape 1764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2962275" cy="209550"/>
    <xdr:sp macro="" textlink="">
      <xdr:nvSpPr>
        <xdr:cNvPr id="50" name="AutoShape 176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2962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Ordered by Market Segment Order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057275" cy="209550"/>
    <xdr:sp macro="" textlink="">
      <xdr:nvSpPr>
        <xdr:cNvPr id="51" name="AutoShape 176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(mktsegprd)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52" name="AutoShape 175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0" y="198786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Market Segment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53" name="AutoShape 174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rrowheads="1"/>
        </xdr:cNvSpPr>
      </xdr:nvSpPr>
      <xdr:spPr bwMode="auto">
        <a:xfrm>
          <a:off x="0" y="207930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628775" cy="209550"/>
    <xdr:sp macro="" textlink="">
      <xdr:nvSpPr>
        <xdr:cNvPr id="54" name="AutoShape 1729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Arrowheads="1"/>
        </xdr:cNvSpPr>
      </xdr:nvSpPr>
      <xdr:spPr bwMode="auto">
        <a:xfrm>
          <a:off x="0" y="2109787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W26   Wholersaler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55" name="AutoShape 1718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0" y="21250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56" name="AutoShape 170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0" y="215550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W50   Contract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7" name="AutoShape 1695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rrowheads="1"/>
        </xdr:cNvSpPr>
      </xdr:nvSpPr>
      <xdr:spPr bwMode="auto">
        <a:xfrm>
          <a:off x="0" y="21707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GC    Corporate Gr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8" name="AutoShape 1684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rrowheads="1"/>
        </xdr:cNvSpPr>
      </xdr:nvSpPr>
      <xdr:spPr bwMode="auto">
        <a:xfrm>
          <a:off x="0" y="21859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W52   Corporate Le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9" name="AutoShape 167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0" y="22012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W53   Permanent Le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0" name="AutoShape 1662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0" y="22164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T62   Complimentar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1" name="AutoShape 165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rrowheads="1"/>
        </xdr:cNvSpPr>
      </xdr:nvSpPr>
      <xdr:spPr bwMode="auto">
        <a:xfrm>
          <a:off x="0" y="223170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2" name="AutoShape 163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rrowheads="1"/>
        </xdr:cNvSpPr>
      </xdr:nvSpPr>
      <xdr:spPr bwMode="auto">
        <a:xfrm>
          <a:off x="0" y="22621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T38   eChannel Adv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3" name="AutoShape 162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0" y="22774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4" name="AutoShape 161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Arrowheads="1"/>
        </xdr:cNvSpPr>
      </xdr:nvSpPr>
      <xdr:spPr bwMode="auto">
        <a:xfrm>
          <a:off x="0" y="23079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W58   KDT MiniHote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5" name="AutoShape 1605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Arrowheads="1"/>
        </xdr:cNvSpPr>
      </xdr:nvSpPr>
      <xdr:spPr bwMode="auto">
        <a:xfrm>
          <a:off x="0" y="232314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6" name="AutoShape 159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Arrowheads="1"/>
        </xdr:cNvSpPr>
      </xdr:nvSpPr>
      <xdr:spPr bwMode="auto">
        <a:xfrm>
          <a:off x="0" y="23536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GG    Government/M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628775" cy="209550"/>
    <xdr:sp macro="" textlink="">
      <xdr:nvSpPr>
        <xdr:cNvPr id="67" name="AutoShape 1582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Arrowheads="1"/>
        </xdr:cNvSpPr>
      </xdr:nvSpPr>
      <xdr:spPr bwMode="auto">
        <a:xfrm>
          <a:off x="0" y="2368867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GN    Association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8" name="AutoShape 157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Arrowheads="1"/>
        </xdr:cNvSpPr>
      </xdr:nvSpPr>
      <xdr:spPr bwMode="auto">
        <a:xfrm>
          <a:off x="0" y="23841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GO    Other Groups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9" name="AutoShape 1560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Arrowheads="1"/>
        </xdr:cNvSpPr>
      </xdr:nvSpPr>
      <xdr:spPr bwMode="auto">
        <a:xfrm>
          <a:off x="0" y="23993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GP    Comp - Assoc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0" name="AutoShape 154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ChangeArrowheads="1"/>
        </xdr:cNvSpPr>
      </xdr:nvSpPr>
      <xdr:spPr bwMode="auto">
        <a:xfrm>
          <a:off x="0" y="24145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GS    Group Sports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1" name="AutoShape 153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>
          <a:spLocks noChangeArrowheads="1"/>
        </xdr:cNvSpPr>
      </xdr:nvSpPr>
      <xdr:spPr bwMode="auto">
        <a:xfrm>
          <a:off x="0" y="24298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GT    Tour And Tra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2" name="AutoShape 1527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rrowheads="1"/>
        </xdr:cNvSpPr>
      </xdr:nvSpPr>
      <xdr:spPr bwMode="auto">
        <a:xfrm>
          <a:off x="0" y="244506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3" name="AutoShape 1515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>
          <a:spLocks noChangeArrowheads="1"/>
        </xdr:cNvSpPr>
      </xdr:nvSpPr>
      <xdr:spPr bwMode="auto">
        <a:xfrm>
          <a:off x="0" y="24755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T31   eChannel Dis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4" name="AutoShape 150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>
          <a:spLocks noChangeArrowheads="1"/>
        </xdr:cNvSpPr>
      </xdr:nvSpPr>
      <xdr:spPr bwMode="auto">
        <a:xfrm>
          <a:off x="0" y="24907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T37   eChannel Hot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5" name="AutoShape 1493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>
          <a:spLocks noChangeArrowheads="1"/>
        </xdr:cNvSpPr>
      </xdr:nvSpPr>
      <xdr:spPr bwMode="auto">
        <a:xfrm>
          <a:off x="0" y="25060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6" name="AutoShape 148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rrowheads="1"/>
        </xdr:cNvSpPr>
      </xdr:nvSpPr>
      <xdr:spPr bwMode="auto">
        <a:xfrm>
          <a:off x="0" y="25365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W51   Marketing Pr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7" name="AutoShape 1470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>
          <a:spLocks noChangeArrowheads="1"/>
        </xdr:cNvSpPr>
      </xdr:nvSpPr>
      <xdr:spPr bwMode="auto">
        <a:xfrm>
          <a:off x="0" y="25517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W55   Associate Re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8" name="AutoShape 1459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>
          <a:spLocks noChangeArrowheads="1"/>
        </xdr:cNvSpPr>
      </xdr:nvSpPr>
      <xdr:spPr bwMode="auto">
        <a:xfrm>
          <a:off x="0" y="25669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W59   Points Owner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9" name="AutoShape 144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rrowheads="1"/>
        </xdr:cNvSpPr>
      </xdr:nvSpPr>
      <xdr:spPr bwMode="auto">
        <a:xfrm>
          <a:off x="0" y="25822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0" name="AutoShape 1436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>
          <a:spLocks noChangeArrowheads="1"/>
        </xdr:cNvSpPr>
      </xdr:nvSpPr>
      <xdr:spPr bwMode="auto">
        <a:xfrm>
          <a:off x="0" y="26127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T26   Wholesale Fi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1" name="AutoShape 1425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>
          <a:spLocks noChangeArrowheads="1"/>
        </xdr:cNvSpPr>
      </xdr:nvSpPr>
      <xdr:spPr bwMode="auto">
        <a:xfrm>
          <a:off x="0" y="26279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T36   eChannel Bun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2" name="AutoShape 1414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>
          <a:spLocks noChangeArrowheads="1"/>
        </xdr:cNvSpPr>
      </xdr:nvSpPr>
      <xdr:spPr bwMode="auto">
        <a:xfrm>
          <a:off x="0" y="26431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T39   eChannel Opa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83" name="AutoShape 1403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>
          <a:spLocks noChangeArrowheads="1"/>
        </xdr:cNvSpPr>
      </xdr:nvSpPr>
      <xdr:spPr bwMode="auto">
        <a:xfrm>
          <a:off x="0" y="26584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T32   NA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84" name="AutoShape 139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>
          <a:spLocks noChangeArrowheads="1"/>
        </xdr:cNvSpPr>
      </xdr:nvSpPr>
      <xdr:spPr bwMode="auto">
        <a:xfrm>
          <a:off x="0" y="267366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676275" cy="209550"/>
    <xdr:sp macro="" textlink="">
      <xdr:nvSpPr>
        <xdr:cNvPr id="85" name="AutoShape 1380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>
          <a:spLocks noChangeArrowheads="1"/>
        </xdr:cNvSpPr>
      </xdr:nvSpPr>
      <xdr:spPr bwMode="auto">
        <a:xfrm>
          <a:off x="0" y="2719387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TOTAL</a:t>
          </a:r>
        </a:p>
      </xdr:txBody>
    </xdr:sp>
    <xdr:clientData/>
  </xdr:oneCellAnchor>
  <xdr:oneCellAnchor>
    <xdr:from>
      <xdr:col>0</xdr:col>
      <xdr:colOff>19050</xdr:colOff>
      <xdr:row>52</xdr:row>
      <xdr:rowOff>19050</xdr:rowOff>
    </xdr:from>
    <xdr:ext cx="771525" cy="209550"/>
    <xdr:sp macro="" textlink="">
      <xdr:nvSpPr>
        <xdr:cNvPr id="86" name="AutoShape 1741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>
          <a:spLocks noChangeArrowheads="1"/>
        </xdr:cNvSpPr>
      </xdr:nvSpPr>
      <xdr:spPr bwMode="auto">
        <a:xfrm>
          <a:off x="19050" y="97536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54</xdr:row>
      <xdr:rowOff>38100</xdr:rowOff>
    </xdr:from>
    <xdr:ext cx="1628775" cy="209550"/>
    <xdr:sp macro="" textlink="">
      <xdr:nvSpPr>
        <xdr:cNvPr id="87" name="AutoShape 1729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>
          <a:spLocks noChangeArrowheads="1"/>
        </xdr:cNvSpPr>
      </xdr:nvSpPr>
      <xdr:spPr bwMode="auto">
        <a:xfrm>
          <a:off x="19050" y="101536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W26   Wholersaler</a:t>
          </a:r>
        </a:p>
      </xdr:txBody>
    </xdr:sp>
    <xdr:clientData/>
  </xdr:oneCellAnchor>
  <xdr:oneCellAnchor>
    <xdr:from>
      <xdr:col>0</xdr:col>
      <xdr:colOff>0</xdr:colOff>
      <xdr:row>55</xdr:row>
      <xdr:rowOff>28575</xdr:rowOff>
    </xdr:from>
    <xdr:ext cx="771525" cy="209550"/>
    <xdr:sp macro="" textlink="">
      <xdr:nvSpPr>
        <xdr:cNvPr id="88" name="AutoShape 1718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>
          <a:spLocks noChangeArrowheads="1"/>
        </xdr:cNvSpPr>
      </xdr:nvSpPr>
      <xdr:spPr bwMode="auto">
        <a:xfrm>
          <a:off x="0" y="10334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57</xdr:row>
      <xdr:rowOff>28575</xdr:rowOff>
    </xdr:from>
    <xdr:ext cx="1343025" cy="209550"/>
    <xdr:sp macro="" textlink="">
      <xdr:nvSpPr>
        <xdr:cNvPr id="89" name="AutoShape 1706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>
          <a:spLocks noChangeArrowheads="1"/>
        </xdr:cNvSpPr>
      </xdr:nvSpPr>
      <xdr:spPr bwMode="auto">
        <a:xfrm>
          <a:off x="19050" y="107156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W50   Contract</a:t>
          </a:r>
        </a:p>
      </xdr:txBody>
    </xdr:sp>
    <xdr:clientData/>
  </xdr:oneCellAnchor>
  <xdr:oneCellAnchor>
    <xdr:from>
      <xdr:col>0</xdr:col>
      <xdr:colOff>0</xdr:colOff>
      <xdr:row>58</xdr:row>
      <xdr:rowOff>19050</xdr:rowOff>
    </xdr:from>
    <xdr:ext cx="1724025" cy="209550"/>
    <xdr:sp macro="" textlink="">
      <xdr:nvSpPr>
        <xdr:cNvPr id="90" name="AutoShape 1695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 noChangeArrowheads="1"/>
        </xdr:cNvSpPr>
      </xdr:nvSpPr>
      <xdr:spPr bwMode="auto">
        <a:xfrm>
          <a:off x="0" y="10896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GC    Corporate Gr</a:t>
          </a:r>
        </a:p>
      </xdr:txBody>
    </xdr:sp>
    <xdr:clientData/>
  </xdr:oneCellAnchor>
  <xdr:oneCellAnchor>
    <xdr:from>
      <xdr:col>0</xdr:col>
      <xdr:colOff>0</xdr:colOff>
      <xdr:row>59</xdr:row>
      <xdr:rowOff>38100</xdr:rowOff>
    </xdr:from>
    <xdr:ext cx="1724025" cy="209550"/>
    <xdr:sp macro="" textlink="">
      <xdr:nvSpPr>
        <xdr:cNvPr id="91" name="AutoShape 1684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>
          <a:spLocks noChangeArrowheads="1"/>
        </xdr:cNvSpPr>
      </xdr:nvSpPr>
      <xdr:spPr bwMode="auto">
        <a:xfrm>
          <a:off x="0" y="11106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W52   Corporate Le</a:t>
          </a:r>
        </a:p>
      </xdr:txBody>
    </xdr:sp>
    <xdr:clientData/>
  </xdr:oneCellAnchor>
  <xdr:oneCellAnchor>
    <xdr:from>
      <xdr:col>0</xdr:col>
      <xdr:colOff>0</xdr:colOff>
      <xdr:row>60</xdr:row>
      <xdr:rowOff>38100</xdr:rowOff>
    </xdr:from>
    <xdr:ext cx="1724025" cy="209550"/>
    <xdr:sp macro="" textlink="">
      <xdr:nvSpPr>
        <xdr:cNvPr id="92" name="AutoShape 1673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>
          <a:spLocks noChangeArrowheads="1"/>
        </xdr:cNvSpPr>
      </xdr:nvSpPr>
      <xdr:spPr bwMode="auto">
        <a:xfrm>
          <a:off x="0" y="11296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W53   Permanent Le</a:t>
          </a:r>
        </a:p>
      </xdr:txBody>
    </xdr:sp>
    <xdr:clientData/>
  </xdr:oneCellAnchor>
  <xdr:oneCellAnchor>
    <xdr:from>
      <xdr:col>0</xdr:col>
      <xdr:colOff>0</xdr:colOff>
      <xdr:row>61</xdr:row>
      <xdr:rowOff>47625</xdr:rowOff>
    </xdr:from>
    <xdr:ext cx="1724025" cy="209550"/>
    <xdr:sp macro="" textlink="">
      <xdr:nvSpPr>
        <xdr:cNvPr id="93" name="AutoShape 166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>
          <a:spLocks noChangeArrowheads="1"/>
        </xdr:cNvSpPr>
      </xdr:nvSpPr>
      <xdr:spPr bwMode="auto">
        <a:xfrm>
          <a:off x="0" y="11496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T62   Complimentar</a:t>
          </a:r>
        </a:p>
      </xdr:txBody>
    </xdr:sp>
    <xdr:clientData/>
  </xdr:oneCellAnchor>
  <xdr:oneCellAnchor>
    <xdr:from>
      <xdr:col>0</xdr:col>
      <xdr:colOff>0</xdr:colOff>
      <xdr:row>62</xdr:row>
      <xdr:rowOff>38100</xdr:rowOff>
    </xdr:from>
    <xdr:ext cx="771525" cy="209550"/>
    <xdr:sp macro="" textlink="">
      <xdr:nvSpPr>
        <xdr:cNvPr id="94" name="AutoShape 1651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>
          <a:spLocks noChangeArrowheads="1"/>
        </xdr:cNvSpPr>
      </xdr:nvSpPr>
      <xdr:spPr bwMode="auto">
        <a:xfrm>
          <a:off x="0" y="11677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64</xdr:row>
      <xdr:rowOff>19050</xdr:rowOff>
    </xdr:from>
    <xdr:ext cx="1724025" cy="209550"/>
    <xdr:sp macro="" textlink="">
      <xdr:nvSpPr>
        <xdr:cNvPr id="95" name="AutoShape 1639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>
          <a:spLocks noChangeArrowheads="1"/>
        </xdr:cNvSpPr>
      </xdr:nvSpPr>
      <xdr:spPr bwMode="auto">
        <a:xfrm>
          <a:off x="0" y="12039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T38   eChannel Adv</a:t>
          </a:r>
        </a:p>
      </xdr:txBody>
    </xdr:sp>
    <xdr:clientData/>
  </xdr:oneCellAnchor>
  <xdr:oneCellAnchor>
    <xdr:from>
      <xdr:col>0</xdr:col>
      <xdr:colOff>0</xdr:colOff>
      <xdr:row>65</xdr:row>
      <xdr:rowOff>28575</xdr:rowOff>
    </xdr:from>
    <xdr:ext cx="771525" cy="209550"/>
    <xdr:sp macro="" textlink="">
      <xdr:nvSpPr>
        <xdr:cNvPr id="96" name="AutoShape 1628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>
          <a:spLocks noChangeArrowheads="1"/>
        </xdr:cNvSpPr>
      </xdr:nvSpPr>
      <xdr:spPr bwMode="auto">
        <a:xfrm>
          <a:off x="0" y="12239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67</xdr:row>
      <xdr:rowOff>28575</xdr:rowOff>
    </xdr:from>
    <xdr:ext cx="1724025" cy="209550"/>
    <xdr:sp macro="" textlink="">
      <xdr:nvSpPr>
        <xdr:cNvPr id="97" name="AutoShape 161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>
          <a:spLocks noChangeArrowheads="1"/>
        </xdr:cNvSpPr>
      </xdr:nvSpPr>
      <xdr:spPr bwMode="auto">
        <a:xfrm>
          <a:off x="0" y="12620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W58   KDT MiniHote</a:t>
          </a:r>
        </a:p>
      </xdr:txBody>
    </xdr:sp>
    <xdr:clientData/>
  </xdr:oneCellAnchor>
  <xdr:oneCellAnchor>
    <xdr:from>
      <xdr:col>0</xdr:col>
      <xdr:colOff>0</xdr:colOff>
      <xdr:row>68</xdr:row>
      <xdr:rowOff>47625</xdr:rowOff>
    </xdr:from>
    <xdr:ext cx="771525" cy="209550"/>
    <xdr:sp macro="" textlink="">
      <xdr:nvSpPr>
        <xdr:cNvPr id="98" name="AutoShape 1605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>
          <a:spLocks noChangeArrowheads="1"/>
        </xdr:cNvSpPr>
      </xdr:nvSpPr>
      <xdr:spPr bwMode="auto">
        <a:xfrm>
          <a:off x="0" y="128301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70</xdr:row>
      <xdr:rowOff>19050</xdr:rowOff>
    </xdr:from>
    <xdr:ext cx="1724025" cy="209550"/>
    <xdr:sp macro="" textlink="">
      <xdr:nvSpPr>
        <xdr:cNvPr id="99" name="AutoShape 1593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>
          <a:spLocks noChangeArrowheads="1"/>
        </xdr:cNvSpPr>
      </xdr:nvSpPr>
      <xdr:spPr bwMode="auto">
        <a:xfrm>
          <a:off x="0" y="13182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GG    Government/M</a:t>
          </a:r>
        </a:p>
      </xdr:txBody>
    </xdr:sp>
    <xdr:clientData/>
  </xdr:oneCellAnchor>
  <xdr:oneCellAnchor>
    <xdr:from>
      <xdr:col>0</xdr:col>
      <xdr:colOff>9525</xdr:colOff>
      <xdr:row>71</xdr:row>
      <xdr:rowOff>28575</xdr:rowOff>
    </xdr:from>
    <xdr:ext cx="1628775" cy="209550"/>
    <xdr:sp macro="" textlink="">
      <xdr:nvSpPr>
        <xdr:cNvPr id="100" name="AutoShape 1582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>
          <a:spLocks noChangeArrowheads="1"/>
        </xdr:cNvSpPr>
      </xdr:nvSpPr>
      <xdr:spPr bwMode="auto">
        <a:xfrm>
          <a:off x="9525" y="1338262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GN    Association</a:t>
          </a:r>
        </a:p>
      </xdr:txBody>
    </xdr:sp>
    <xdr:clientData/>
  </xdr:oneCellAnchor>
  <xdr:oneCellAnchor>
    <xdr:from>
      <xdr:col>0</xdr:col>
      <xdr:colOff>0</xdr:colOff>
      <xdr:row>72</xdr:row>
      <xdr:rowOff>38100</xdr:rowOff>
    </xdr:from>
    <xdr:ext cx="1724025" cy="209550"/>
    <xdr:sp macro="" textlink="">
      <xdr:nvSpPr>
        <xdr:cNvPr id="101" name="AutoShape 157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>
          <a:spLocks noChangeArrowheads="1"/>
        </xdr:cNvSpPr>
      </xdr:nvSpPr>
      <xdr:spPr bwMode="auto">
        <a:xfrm>
          <a:off x="0" y="13582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GO    Other Groups</a:t>
          </a:r>
        </a:p>
      </xdr:txBody>
    </xdr:sp>
    <xdr:clientData/>
  </xdr:oneCellAnchor>
  <xdr:oneCellAnchor>
    <xdr:from>
      <xdr:col>0</xdr:col>
      <xdr:colOff>9525</xdr:colOff>
      <xdr:row>73</xdr:row>
      <xdr:rowOff>57150</xdr:rowOff>
    </xdr:from>
    <xdr:ext cx="1724025" cy="209550"/>
    <xdr:sp macro="" textlink="">
      <xdr:nvSpPr>
        <xdr:cNvPr id="102" name="AutoShape 1560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>
          <a:spLocks noChangeArrowheads="1"/>
        </xdr:cNvSpPr>
      </xdr:nvSpPr>
      <xdr:spPr bwMode="auto">
        <a:xfrm>
          <a:off x="9525" y="137922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GP    Comp - Assoc</a:t>
          </a:r>
        </a:p>
      </xdr:txBody>
    </xdr:sp>
    <xdr:clientData/>
  </xdr:oneCellAnchor>
  <xdr:oneCellAnchor>
    <xdr:from>
      <xdr:col>0</xdr:col>
      <xdr:colOff>19050</xdr:colOff>
      <xdr:row>74</xdr:row>
      <xdr:rowOff>47625</xdr:rowOff>
    </xdr:from>
    <xdr:ext cx="1724025" cy="209550"/>
    <xdr:sp macro="" textlink="">
      <xdr:nvSpPr>
        <xdr:cNvPr id="103" name="AutoShape 1549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>
          <a:spLocks noChangeArrowheads="1"/>
        </xdr:cNvSpPr>
      </xdr:nvSpPr>
      <xdr:spPr bwMode="auto">
        <a:xfrm>
          <a:off x="19050" y="139731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GS    Group Social</a:t>
          </a:r>
        </a:p>
      </xdr:txBody>
    </xdr:sp>
    <xdr:clientData/>
  </xdr:oneCellAnchor>
  <xdr:oneCellAnchor>
    <xdr:from>
      <xdr:col>0</xdr:col>
      <xdr:colOff>0</xdr:colOff>
      <xdr:row>75</xdr:row>
      <xdr:rowOff>28575</xdr:rowOff>
    </xdr:from>
    <xdr:ext cx="1724025" cy="209550"/>
    <xdr:sp macro="" textlink="">
      <xdr:nvSpPr>
        <xdr:cNvPr id="104" name="AutoShape 1538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>
          <a:spLocks noChangeArrowheads="1"/>
        </xdr:cNvSpPr>
      </xdr:nvSpPr>
      <xdr:spPr bwMode="auto">
        <a:xfrm>
          <a:off x="0" y="14144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GT    Tour And Tra</a:t>
          </a:r>
        </a:p>
      </xdr:txBody>
    </xdr:sp>
    <xdr:clientData/>
  </xdr:oneCellAnchor>
  <xdr:oneCellAnchor>
    <xdr:from>
      <xdr:col>0</xdr:col>
      <xdr:colOff>9525</xdr:colOff>
      <xdr:row>76</xdr:row>
      <xdr:rowOff>28575</xdr:rowOff>
    </xdr:from>
    <xdr:ext cx="771525" cy="209550"/>
    <xdr:sp macro="" textlink="">
      <xdr:nvSpPr>
        <xdr:cNvPr id="105" name="AutoShape 1527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>
          <a:spLocks noChangeArrowheads="1"/>
        </xdr:cNvSpPr>
      </xdr:nvSpPr>
      <xdr:spPr bwMode="auto">
        <a:xfrm>
          <a:off x="9525" y="14335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78</xdr:row>
      <xdr:rowOff>28575</xdr:rowOff>
    </xdr:from>
    <xdr:ext cx="1724025" cy="209550"/>
    <xdr:sp macro="" textlink="">
      <xdr:nvSpPr>
        <xdr:cNvPr id="106" name="AutoShape 151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>
          <a:spLocks noChangeArrowheads="1"/>
        </xdr:cNvSpPr>
      </xdr:nvSpPr>
      <xdr:spPr bwMode="auto">
        <a:xfrm>
          <a:off x="0" y="14716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T31   eChannel Dis</a:t>
          </a:r>
        </a:p>
      </xdr:txBody>
    </xdr:sp>
    <xdr:clientData/>
  </xdr:oneCellAnchor>
  <xdr:oneCellAnchor>
    <xdr:from>
      <xdr:col>0</xdr:col>
      <xdr:colOff>0</xdr:colOff>
      <xdr:row>79</xdr:row>
      <xdr:rowOff>28575</xdr:rowOff>
    </xdr:from>
    <xdr:ext cx="1724025" cy="209550"/>
    <xdr:sp macro="" textlink="">
      <xdr:nvSpPr>
        <xdr:cNvPr id="107" name="AutoShape 1504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>
          <a:spLocks noChangeArrowheads="1"/>
        </xdr:cNvSpPr>
      </xdr:nvSpPr>
      <xdr:spPr bwMode="auto">
        <a:xfrm>
          <a:off x="0" y="14906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T37   eChannel Hot</a:t>
          </a:r>
        </a:p>
      </xdr:txBody>
    </xdr:sp>
    <xdr:clientData/>
  </xdr:oneCellAnchor>
  <xdr:oneCellAnchor>
    <xdr:from>
      <xdr:col>0</xdr:col>
      <xdr:colOff>0</xdr:colOff>
      <xdr:row>80</xdr:row>
      <xdr:rowOff>47625</xdr:rowOff>
    </xdr:from>
    <xdr:ext cx="771525" cy="209550"/>
    <xdr:sp macro="" textlink="">
      <xdr:nvSpPr>
        <xdr:cNvPr id="108" name="AutoShape 1493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>
          <a:spLocks noChangeArrowheads="1"/>
        </xdr:cNvSpPr>
      </xdr:nvSpPr>
      <xdr:spPr bwMode="auto">
        <a:xfrm>
          <a:off x="0" y="151161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82</xdr:row>
      <xdr:rowOff>28575</xdr:rowOff>
    </xdr:from>
    <xdr:ext cx="1724025" cy="209550"/>
    <xdr:sp macro="" textlink="">
      <xdr:nvSpPr>
        <xdr:cNvPr id="109" name="AutoShape 148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>
          <a:spLocks noChangeArrowheads="1"/>
        </xdr:cNvSpPr>
      </xdr:nvSpPr>
      <xdr:spPr bwMode="auto">
        <a:xfrm>
          <a:off x="0" y="15478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W51   Marketing Pr</a:t>
          </a:r>
        </a:p>
      </xdr:txBody>
    </xdr:sp>
    <xdr:clientData/>
  </xdr:oneCellAnchor>
  <xdr:oneCellAnchor>
    <xdr:from>
      <xdr:col>0</xdr:col>
      <xdr:colOff>0</xdr:colOff>
      <xdr:row>83</xdr:row>
      <xdr:rowOff>38100</xdr:rowOff>
    </xdr:from>
    <xdr:ext cx="1724025" cy="209550"/>
    <xdr:sp macro="" textlink="">
      <xdr:nvSpPr>
        <xdr:cNvPr id="110" name="AutoShape 1470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>
          <a:spLocks noChangeArrowheads="1"/>
        </xdr:cNvSpPr>
      </xdr:nvSpPr>
      <xdr:spPr bwMode="auto">
        <a:xfrm>
          <a:off x="0" y="15678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W55   Associate Re</a:t>
          </a:r>
        </a:p>
      </xdr:txBody>
    </xdr:sp>
    <xdr:clientData/>
  </xdr:oneCellAnchor>
  <xdr:oneCellAnchor>
    <xdr:from>
      <xdr:col>0</xdr:col>
      <xdr:colOff>0</xdr:colOff>
      <xdr:row>84</xdr:row>
      <xdr:rowOff>28575</xdr:rowOff>
    </xdr:from>
    <xdr:ext cx="1724025" cy="209550"/>
    <xdr:sp macro="" textlink="">
      <xdr:nvSpPr>
        <xdr:cNvPr id="111" name="AutoShape 1459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>
          <a:spLocks noChangeArrowheads="1"/>
        </xdr:cNvSpPr>
      </xdr:nvSpPr>
      <xdr:spPr bwMode="auto">
        <a:xfrm>
          <a:off x="0" y="15859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W59   Points Owner</a:t>
          </a:r>
        </a:p>
      </xdr:txBody>
    </xdr:sp>
    <xdr:clientData/>
  </xdr:oneCellAnchor>
  <xdr:oneCellAnchor>
    <xdr:from>
      <xdr:col>0</xdr:col>
      <xdr:colOff>0</xdr:colOff>
      <xdr:row>85</xdr:row>
      <xdr:rowOff>38100</xdr:rowOff>
    </xdr:from>
    <xdr:ext cx="771525" cy="209550"/>
    <xdr:sp macro="" textlink="">
      <xdr:nvSpPr>
        <xdr:cNvPr id="112" name="AutoShape 144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>
          <a:spLocks noChangeArrowheads="1"/>
        </xdr:cNvSpPr>
      </xdr:nvSpPr>
      <xdr:spPr bwMode="auto">
        <a:xfrm>
          <a:off x="0" y="160591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9525</xdr:colOff>
      <xdr:row>87</xdr:row>
      <xdr:rowOff>38100</xdr:rowOff>
    </xdr:from>
    <xdr:ext cx="1724025" cy="209550"/>
    <xdr:sp macro="" textlink="">
      <xdr:nvSpPr>
        <xdr:cNvPr id="113" name="AutoShape 1436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>
          <a:spLocks noChangeArrowheads="1"/>
        </xdr:cNvSpPr>
      </xdr:nvSpPr>
      <xdr:spPr bwMode="auto">
        <a:xfrm>
          <a:off x="9525" y="16440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T26   Wholesale Fi</a:t>
          </a:r>
        </a:p>
      </xdr:txBody>
    </xdr:sp>
    <xdr:clientData/>
  </xdr:oneCellAnchor>
  <xdr:oneCellAnchor>
    <xdr:from>
      <xdr:col>0</xdr:col>
      <xdr:colOff>0</xdr:colOff>
      <xdr:row>88</xdr:row>
      <xdr:rowOff>38100</xdr:rowOff>
    </xdr:from>
    <xdr:ext cx="1724025" cy="209550"/>
    <xdr:sp macro="" textlink="">
      <xdr:nvSpPr>
        <xdr:cNvPr id="114" name="AutoShape 1425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>
          <a:spLocks noChangeArrowheads="1"/>
        </xdr:cNvSpPr>
      </xdr:nvSpPr>
      <xdr:spPr bwMode="auto">
        <a:xfrm>
          <a:off x="0" y="16630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T36   eChannel Bun</a:t>
          </a:r>
        </a:p>
      </xdr:txBody>
    </xdr:sp>
    <xdr:clientData/>
  </xdr:oneCellAnchor>
  <xdr:oneCellAnchor>
    <xdr:from>
      <xdr:col>0</xdr:col>
      <xdr:colOff>0</xdr:colOff>
      <xdr:row>89</xdr:row>
      <xdr:rowOff>47625</xdr:rowOff>
    </xdr:from>
    <xdr:ext cx="1724025" cy="209550"/>
    <xdr:sp macro="" textlink="">
      <xdr:nvSpPr>
        <xdr:cNvPr id="115" name="AutoShape 14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>
          <a:spLocks noChangeArrowheads="1"/>
        </xdr:cNvSpPr>
      </xdr:nvSpPr>
      <xdr:spPr bwMode="auto">
        <a:xfrm>
          <a:off x="0" y="16830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T39   eChannel Opa</a:t>
          </a:r>
        </a:p>
      </xdr:txBody>
    </xdr:sp>
    <xdr:clientData/>
  </xdr:oneCellAnchor>
  <xdr:oneCellAnchor>
    <xdr:from>
      <xdr:col>0</xdr:col>
      <xdr:colOff>0</xdr:colOff>
      <xdr:row>90</xdr:row>
      <xdr:rowOff>38100</xdr:rowOff>
    </xdr:from>
    <xdr:ext cx="771525" cy="209550"/>
    <xdr:sp macro="" textlink="">
      <xdr:nvSpPr>
        <xdr:cNvPr id="116" name="AutoShape 1403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Arrowheads="1"/>
        </xdr:cNvSpPr>
      </xdr:nvSpPr>
      <xdr:spPr bwMode="auto">
        <a:xfrm>
          <a:off x="0" y="17011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T32   NA</a:t>
          </a:r>
        </a:p>
      </xdr:txBody>
    </xdr:sp>
    <xdr:clientData/>
  </xdr:oneCellAnchor>
  <xdr:oneCellAnchor>
    <xdr:from>
      <xdr:col>0</xdr:col>
      <xdr:colOff>9525</xdr:colOff>
      <xdr:row>91</xdr:row>
      <xdr:rowOff>38100</xdr:rowOff>
    </xdr:from>
    <xdr:ext cx="771525" cy="209550"/>
    <xdr:sp macro="" textlink="">
      <xdr:nvSpPr>
        <xdr:cNvPr id="117" name="AutoShape 1392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Arrowheads="1"/>
        </xdr:cNvSpPr>
      </xdr:nvSpPr>
      <xdr:spPr bwMode="auto">
        <a:xfrm>
          <a:off x="9525" y="172021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93</xdr:row>
      <xdr:rowOff>28575</xdr:rowOff>
    </xdr:from>
    <xdr:ext cx="676275" cy="209550"/>
    <xdr:sp macro="" textlink="">
      <xdr:nvSpPr>
        <xdr:cNvPr id="118" name="AutoShape 1380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Arrowheads="1"/>
        </xdr:cNvSpPr>
      </xdr:nvSpPr>
      <xdr:spPr bwMode="auto">
        <a:xfrm>
          <a:off x="0" y="1757362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TOTAL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3</xdr:row>
          <xdr:rowOff>152400</xdr:rowOff>
        </xdr:from>
        <xdr:to>
          <xdr:col>4</xdr:col>
          <xdr:colOff>19050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à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2:A11"/>
  <sheetViews>
    <sheetView workbookViewId="0">
      <selection activeCell="O10" sqref="O10"/>
    </sheetView>
  </sheetViews>
  <sheetFormatPr defaultColWidth="11.42578125" defaultRowHeight="15" x14ac:dyDescent="0.25"/>
  <sheetData>
    <row r="2" spans="1:1" x14ac:dyDescent="0.25">
      <c r="A2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96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H67"/>
  <sheetViews>
    <sheetView topLeftCell="A10" zoomScale="85" zoomScaleNormal="85" workbookViewId="0">
      <selection activeCell="B3" sqref="B3"/>
    </sheetView>
  </sheetViews>
  <sheetFormatPr defaultColWidth="11.42578125" defaultRowHeight="15" x14ac:dyDescent="0.25"/>
  <cols>
    <col min="1" max="1" width="30.28515625" bestFit="1" customWidth="1"/>
    <col min="2" max="2" width="12" style="55" bestFit="1" customWidth="1"/>
  </cols>
  <sheetData>
    <row r="2" spans="1:2" x14ac:dyDescent="0.25">
      <c r="A2" t="s">
        <v>57</v>
      </c>
      <c r="B2" s="56">
        <f>969+7.5</f>
        <v>976.5</v>
      </c>
    </row>
    <row r="3" spans="1:2" x14ac:dyDescent="0.25">
      <c r="A3" t="s">
        <v>52</v>
      </c>
      <c r="B3" s="56">
        <v>3126.42</v>
      </c>
    </row>
    <row r="4" spans="1:2" x14ac:dyDescent="0.25">
      <c r="A4" t="s">
        <v>53</v>
      </c>
      <c r="B4" s="56">
        <v>1813.16</v>
      </c>
    </row>
    <row r="5" spans="1:2" x14ac:dyDescent="0.25">
      <c r="A5" t="s">
        <v>58</v>
      </c>
      <c r="B5" s="56">
        <v>7053.1</v>
      </c>
    </row>
    <row r="6" spans="1:2" x14ac:dyDescent="0.25">
      <c r="A6" t="s">
        <v>54</v>
      </c>
      <c r="B6" s="56">
        <v>1254.75</v>
      </c>
    </row>
    <row r="7" spans="1:2" x14ac:dyDescent="0.25">
      <c r="A7" t="s">
        <v>55</v>
      </c>
      <c r="B7" s="56">
        <v>571</v>
      </c>
    </row>
    <row r="8" spans="1:2" x14ac:dyDescent="0.25">
      <c r="A8" t="s">
        <v>59</v>
      </c>
      <c r="B8" s="56">
        <v>0</v>
      </c>
    </row>
    <row r="9" spans="1:2" x14ac:dyDescent="0.25">
      <c r="A9" t="s">
        <v>60</v>
      </c>
      <c r="B9" s="56">
        <v>254</v>
      </c>
    </row>
    <row r="10" spans="1:2" x14ac:dyDescent="0.25">
      <c r="A10" t="s">
        <v>56</v>
      </c>
      <c r="B10" s="56">
        <v>339</v>
      </c>
    </row>
    <row r="11" spans="1:2" x14ac:dyDescent="0.25">
      <c r="A11" t="s">
        <v>61</v>
      </c>
      <c r="B11" s="56">
        <v>1147.1099999999999</v>
      </c>
    </row>
    <row r="12" spans="1:2" x14ac:dyDescent="0.25">
      <c r="A12" t="s">
        <v>62</v>
      </c>
      <c r="B12" s="56">
        <v>450</v>
      </c>
    </row>
    <row r="13" spans="1:2" x14ac:dyDescent="0.25">
      <c r="A13" t="s">
        <v>63</v>
      </c>
      <c r="B13" s="56">
        <v>93.43</v>
      </c>
    </row>
    <row r="14" spans="1:2" x14ac:dyDescent="0.25">
      <c r="A14" t="s">
        <v>64</v>
      </c>
      <c r="B14" s="56">
        <v>114.2</v>
      </c>
    </row>
    <row r="15" spans="1:2" x14ac:dyDescent="0.25">
      <c r="A15" t="s">
        <v>65</v>
      </c>
      <c r="B15" s="56">
        <v>0</v>
      </c>
    </row>
    <row r="16" spans="1:2" x14ac:dyDescent="0.25">
      <c r="A16" t="s">
        <v>66</v>
      </c>
      <c r="B16" s="56">
        <v>0</v>
      </c>
    </row>
    <row r="17" spans="1:2" x14ac:dyDescent="0.25">
      <c r="A17" t="s">
        <v>67</v>
      </c>
      <c r="B17" s="56">
        <v>3141</v>
      </c>
    </row>
    <row r="18" spans="1:2" x14ac:dyDescent="0.25">
      <c r="A18" t="s">
        <v>68</v>
      </c>
      <c r="B18" s="56">
        <v>11397.18</v>
      </c>
    </row>
    <row r="19" spans="1:2" x14ac:dyDescent="0.25">
      <c r="A19" t="s">
        <v>69</v>
      </c>
      <c r="B19" s="56">
        <v>0</v>
      </c>
    </row>
    <row r="20" spans="1:2" x14ac:dyDescent="0.25">
      <c r="A20" t="s">
        <v>70</v>
      </c>
      <c r="B20" s="56">
        <v>0</v>
      </c>
    </row>
    <row r="21" spans="1:2" x14ac:dyDescent="0.25">
      <c r="A21" t="s">
        <v>71</v>
      </c>
      <c r="B21" s="56">
        <v>0</v>
      </c>
    </row>
    <row r="22" spans="1:2" x14ac:dyDescent="0.25">
      <c r="A22" t="s">
        <v>72</v>
      </c>
      <c r="B22" s="56">
        <v>0</v>
      </c>
    </row>
    <row r="23" spans="1:2" x14ac:dyDescent="0.25">
      <c r="A23" t="s">
        <v>73</v>
      </c>
      <c r="B23" s="56">
        <v>2168</v>
      </c>
    </row>
    <row r="24" spans="1:2" x14ac:dyDescent="0.25">
      <c r="A24" t="s">
        <v>74</v>
      </c>
      <c r="B24" s="56">
        <v>0</v>
      </c>
    </row>
    <row r="25" spans="1:2" x14ac:dyDescent="0.25">
      <c r="A25" t="s">
        <v>75</v>
      </c>
      <c r="B25" s="56">
        <v>0</v>
      </c>
    </row>
    <row r="26" spans="1:2" x14ac:dyDescent="0.25">
      <c r="A26" t="s">
        <v>76</v>
      </c>
      <c r="B26" s="56">
        <v>0</v>
      </c>
    </row>
    <row r="27" spans="1:2" x14ac:dyDescent="0.25">
      <c r="A27" t="s">
        <v>77</v>
      </c>
      <c r="B27" s="56">
        <v>109.5</v>
      </c>
    </row>
    <row r="28" spans="1:2" x14ac:dyDescent="0.25">
      <c r="A28" t="s">
        <v>78</v>
      </c>
      <c r="B28" s="56">
        <v>0</v>
      </c>
    </row>
    <row r="29" spans="1:2" x14ac:dyDescent="0.25">
      <c r="A29" t="s">
        <v>79</v>
      </c>
      <c r="B29" s="56">
        <v>438.01</v>
      </c>
    </row>
    <row r="30" spans="1:2" x14ac:dyDescent="0.25">
      <c r="A30" t="s">
        <v>80</v>
      </c>
      <c r="B30" s="56">
        <v>0</v>
      </c>
    </row>
    <row r="31" spans="1:2" x14ac:dyDescent="0.25">
      <c r="A31" t="s">
        <v>81</v>
      </c>
      <c r="B31" s="56">
        <v>0</v>
      </c>
    </row>
    <row r="32" spans="1:2" x14ac:dyDescent="0.25">
      <c r="A32" t="s">
        <v>82</v>
      </c>
      <c r="B32" s="56">
        <v>0</v>
      </c>
    </row>
    <row r="33" spans="1:8" x14ac:dyDescent="0.25">
      <c r="A33" t="s">
        <v>83</v>
      </c>
      <c r="B33" s="56">
        <v>0</v>
      </c>
    </row>
    <row r="34" spans="1:8" x14ac:dyDescent="0.25">
      <c r="A34" t="s">
        <v>84</v>
      </c>
      <c r="B34" s="56">
        <v>0</v>
      </c>
    </row>
    <row r="35" spans="1:8" x14ac:dyDescent="0.25">
      <c r="A35" t="s">
        <v>85</v>
      </c>
      <c r="B35" s="56">
        <v>0</v>
      </c>
    </row>
    <row r="36" spans="1:8" x14ac:dyDescent="0.25">
      <c r="A36" t="s">
        <v>86</v>
      </c>
      <c r="B36" s="56">
        <v>0</v>
      </c>
    </row>
    <row r="37" spans="1:8" x14ac:dyDescent="0.25">
      <c r="A37" t="s">
        <v>87</v>
      </c>
      <c r="B37" s="56">
        <v>0</v>
      </c>
    </row>
    <row r="38" spans="1:8" x14ac:dyDescent="0.25">
      <c r="A38" t="s">
        <v>88</v>
      </c>
      <c r="B38" s="56">
        <v>0</v>
      </c>
    </row>
    <row r="39" spans="1:8" x14ac:dyDescent="0.25">
      <c r="A39" t="s">
        <v>89</v>
      </c>
      <c r="B39" s="56">
        <v>0</v>
      </c>
    </row>
    <row r="40" spans="1:8" x14ac:dyDescent="0.25">
      <c r="A40" t="s">
        <v>90</v>
      </c>
      <c r="B40" s="56">
        <v>0</v>
      </c>
    </row>
    <row r="41" spans="1:8" ht="15.75" thickBot="1" x14ac:dyDescent="0.3">
      <c r="A41" t="s">
        <v>91</v>
      </c>
      <c r="B41" s="56">
        <v>0</v>
      </c>
    </row>
    <row r="42" spans="1:8" ht="19.5" thickBot="1" x14ac:dyDescent="0.35">
      <c r="A42" t="s">
        <v>92</v>
      </c>
      <c r="B42" s="57">
        <f>SUM(B2:B41)</f>
        <v>34446.360000000008</v>
      </c>
    </row>
    <row r="44" spans="1:8" ht="15.75" x14ac:dyDescent="0.25">
      <c r="A44" s="58" t="s">
        <v>93</v>
      </c>
      <c r="B44" s="56">
        <v>295.5</v>
      </c>
    </row>
    <row r="47" spans="1:8" ht="15.75" x14ac:dyDescent="0.25">
      <c r="A47" s="54" t="s">
        <v>95</v>
      </c>
      <c r="B47" s="56">
        <v>20</v>
      </c>
    </row>
    <row r="48" spans="1:8" ht="15.75" thickBot="1" x14ac:dyDescent="0.3">
      <c r="H48" s="55"/>
    </row>
    <row r="49" spans="1:2" ht="19.5" thickBot="1" x14ac:dyDescent="0.35">
      <c r="A49" t="s">
        <v>39</v>
      </c>
      <c r="B49" s="57">
        <f>SUM(B2:B41)+B44-B47</f>
        <v>34721.860000000008</v>
      </c>
    </row>
    <row r="67" spans="1:1" x14ac:dyDescent="0.25">
      <c r="A67" t="s">
        <v>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ise_a_zero">
                <anchor moveWithCells="1" siz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4</xdr:col>
                    <xdr:colOff>409575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B107"/>
  <sheetViews>
    <sheetView topLeftCell="A57" zoomScale="85" zoomScaleNormal="85" workbookViewId="0">
      <selection activeCell="B98" sqref="B98"/>
    </sheetView>
  </sheetViews>
  <sheetFormatPr defaultColWidth="11.42578125" defaultRowHeight="15" x14ac:dyDescent="0.25"/>
  <cols>
    <col min="1" max="1" width="37.42578125" customWidth="1"/>
  </cols>
  <sheetData>
    <row r="1" spans="1:2" ht="15.75" x14ac:dyDescent="0.25">
      <c r="A1" s="49"/>
    </row>
    <row r="3" spans="1:2" x14ac:dyDescent="0.25">
      <c r="B3">
        <v>0</v>
      </c>
    </row>
    <row r="5" spans="1:2" ht="15.75" thickBot="1" x14ac:dyDescent="0.3">
      <c r="B5" s="51">
        <v>2</v>
      </c>
    </row>
    <row r="6" spans="1:2" ht="16.5" thickBot="1" x14ac:dyDescent="0.3">
      <c r="B6" s="52">
        <f>B5</f>
        <v>2</v>
      </c>
    </row>
    <row r="8" spans="1:2" x14ac:dyDescent="0.25">
      <c r="B8" s="51">
        <v>0</v>
      </c>
    </row>
    <row r="9" spans="1:2" ht="15.75" thickBot="1" x14ac:dyDescent="0.3">
      <c r="B9" s="51">
        <v>12</v>
      </c>
    </row>
    <row r="10" spans="1:2" ht="16.5" thickBot="1" x14ac:dyDescent="0.3">
      <c r="B10" s="52">
        <f>SUM(B8:B9)</f>
        <v>12</v>
      </c>
    </row>
    <row r="12" spans="1:2" x14ac:dyDescent="0.25">
      <c r="B12" s="51">
        <v>0</v>
      </c>
    </row>
    <row r="13" spans="1:2" x14ac:dyDescent="0.25">
      <c r="B13" s="51">
        <v>0</v>
      </c>
    </row>
    <row r="14" spans="1:2" ht="15.75" thickBot="1" x14ac:dyDescent="0.3">
      <c r="B14" s="51">
        <v>3</v>
      </c>
    </row>
    <row r="15" spans="1:2" ht="16.5" thickBot="1" x14ac:dyDescent="0.3">
      <c r="B15" s="52">
        <f>SUM(B12:B14)</f>
        <v>3</v>
      </c>
    </row>
    <row r="17" spans="2:2" x14ac:dyDescent="0.25">
      <c r="B17" s="51">
        <v>38</v>
      </c>
    </row>
    <row r="18" spans="2:2" ht="15.75" thickBot="1" x14ac:dyDescent="0.3">
      <c r="B18" s="51">
        <v>0</v>
      </c>
    </row>
    <row r="19" spans="2:2" ht="16.5" thickBot="1" x14ac:dyDescent="0.3">
      <c r="B19" s="52">
        <f>SUM(B17:B18)</f>
        <v>38</v>
      </c>
    </row>
    <row r="21" spans="2:2" x14ac:dyDescent="0.25">
      <c r="B21" s="51">
        <v>0</v>
      </c>
    </row>
    <row r="22" spans="2:2" x14ac:dyDescent="0.25">
      <c r="B22" s="51">
        <v>0</v>
      </c>
    </row>
    <row r="23" spans="2:2" x14ac:dyDescent="0.25">
      <c r="B23" s="51">
        <v>0</v>
      </c>
    </row>
    <row r="24" spans="2:2" x14ac:dyDescent="0.25">
      <c r="B24" s="51">
        <v>0</v>
      </c>
    </row>
    <row r="25" spans="2:2" x14ac:dyDescent="0.25">
      <c r="B25" s="51">
        <v>0</v>
      </c>
    </row>
    <row r="26" spans="2:2" ht="15.75" thickBot="1" x14ac:dyDescent="0.3">
      <c r="B26" s="51">
        <v>0</v>
      </c>
    </row>
    <row r="27" spans="2:2" ht="16.5" thickBot="1" x14ac:dyDescent="0.3">
      <c r="B27" s="52">
        <f>SUM(B21:B26)</f>
        <v>0</v>
      </c>
    </row>
    <row r="29" spans="2:2" ht="15.75" thickBot="1" x14ac:dyDescent="0.3">
      <c r="B29" s="51">
        <v>2</v>
      </c>
    </row>
    <row r="30" spans="2:2" ht="16.5" thickBot="1" x14ac:dyDescent="0.3">
      <c r="B30" s="52">
        <f>SUM(B29)</f>
        <v>2</v>
      </c>
    </row>
    <row r="32" spans="2:2" x14ac:dyDescent="0.25">
      <c r="B32" s="51">
        <v>0</v>
      </c>
    </row>
    <row r="33" spans="2:2" ht="15.75" thickBot="1" x14ac:dyDescent="0.3">
      <c r="B33" s="51">
        <v>1</v>
      </c>
    </row>
    <row r="34" spans="2:2" ht="16.5" thickBot="1" x14ac:dyDescent="0.3">
      <c r="B34" s="52">
        <f>SUM(B32:B33)</f>
        <v>1</v>
      </c>
    </row>
    <row r="36" spans="2:2" x14ac:dyDescent="0.25">
      <c r="B36" s="51">
        <v>0</v>
      </c>
    </row>
    <row r="37" spans="2:2" x14ac:dyDescent="0.25">
      <c r="B37" s="51">
        <v>2</v>
      </c>
    </row>
    <row r="38" spans="2:2" x14ac:dyDescent="0.25">
      <c r="B38" s="51">
        <v>0</v>
      </c>
    </row>
    <row r="39" spans="2:2" ht="15.75" thickBot="1" x14ac:dyDescent="0.3">
      <c r="B39" s="51">
        <v>5</v>
      </c>
    </row>
    <row r="40" spans="2:2" ht="16.5" thickBot="1" x14ac:dyDescent="0.3">
      <c r="B40" s="52">
        <f>SUM(B36:B39)</f>
        <v>7</v>
      </c>
    </row>
    <row r="42" spans="2:2" x14ac:dyDescent="0.25">
      <c r="B42" s="51">
        <v>1</v>
      </c>
    </row>
    <row r="43" spans="2:2" x14ac:dyDescent="0.25">
      <c r="B43" s="51">
        <v>0</v>
      </c>
    </row>
    <row r="44" spans="2:2" x14ac:dyDescent="0.25">
      <c r="B44" s="51">
        <v>0</v>
      </c>
    </row>
    <row r="45" spans="2:2" ht="15.75" thickBot="1" x14ac:dyDescent="0.3">
      <c r="B45" s="51">
        <v>1</v>
      </c>
    </row>
    <row r="46" spans="2:2" ht="16.5" thickBot="1" x14ac:dyDescent="0.3">
      <c r="B46" s="52">
        <f>SUM(B42:B45)</f>
        <v>2</v>
      </c>
    </row>
    <row r="48" spans="2:2" ht="15.75" thickBot="1" x14ac:dyDescent="0.3">
      <c r="B48" s="51">
        <v>1</v>
      </c>
    </row>
    <row r="49" spans="1:2" ht="16.5" thickBot="1" x14ac:dyDescent="0.3">
      <c r="B49" s="52">
        <f>+B48</f>
        <v>1</v>
      </c>
    </row>
    <row r="51" spans="1:2" x14ac:dyDescent="0.25">
      <c r="A51" s="50"/>
      <c r="B51" s="51">
        <v>0</v>
      </c>
    </row>
    <row r="52" spans="1:2" ht="16.5" thickBot="1" x14ac:dyDescent="0.3">
      <c r="A52" s="49"/>
      <c r="B52" s="51">
        <v>0</v>
      </c>
    </row>
    <row r="53" spans="1:2" ht="16.5" thickBot="1" x14ac:dyDescent="0.3">
      <c r="B53" s="52">
        <f>SUM(B51:B52)</f>
        <v>0</v>
      </c>
    </row>
    <row r="55" spans="1:2" ht="15.75" thickBot="1" x14ac:dyDescent="0.3">
      <c r="B55" s="51">
        <v>9</v>
      </c>
    </row>
    <row r="56" spans="1:2" ht="16.5" thickBot="1" x14ac:dyDescent="0.3">
      <c r="B56" s="52">
        <f>SUM(B55)</f>
        <v>9</v>
      </c>
    </row>
    <row r="58" spans="1:2" x14ac:dyDescent="0.25">
      <c r="B58" s="51">
        <v>6</v>
      </c>
    </row>
    <row r="59" spans="1:2" x14ac:dyDescent="0.25">
      <c r="B59" s="51">
        <v>60</v>
      </c>
    </row>
    <row r="60" spans="1:2" x14ac:dyDescent="0.25">
      <c r="B60" s="51">
        <v>0</v>
      </c>
    </row>
    <row r="61" spans="1:2" x14ac:dyDescent="0.25">
      <c r="B61" s="51">
        <v>0</v>
      </c>
    </row>
    <row r="62" spans="1:2" ht="15.75" thickBot="1" x14ac:dyDescent="0.3">
      <c r="B62" s="51">
        <v>0</v>
      </c>
    </row>
    <row r="63" spans="1:2" ht="16.5" thickBot="1" x14ac:dyDescent="0.3">
      <c r="B63" s="52">
        <f>SUM(B58:B62)</f>
        <v>66</v>
      </c>
    </row>
    <row r="65" spans="2:2" ht="15.75" thickBot="1" x14ac:dyDescent="0.3">
      <c r="B65" s="51">
        <v>4</v>
      </c>
    </row>
    <row r="66" spans="2:2" ht="16.5" thickBot="1" x14ac:dyDescent="0.3">
      <c r="B66" s="52">
        <f>SUM(B65)</f>
        <v>4</v>
      </c>
    </row>
    <row r="68" spans="2:2" ht="15.75" thickBot="1" x14ac:dyDescent="0.3">
      <c r="B68" s="51">
        <v>0</v>
      </c>
    </row>
    <row r="69" spans="2:2" ht="16.5" thickBot="1" x14ac:dyDescent="0.3">
      <c r="B69" s="52">
        <f>SUM(B68)</f>
        <v>0</v>
      </c>
    </row>
    <row r="71" spans="2:2" x14ac:dyDescent="0.25">
      <c r="B71" s="51">
        <v>0</v>
      </c>
    </row>
    <row r="72" spans="2:2" x14ac:dyDescent="0.25">
      <c r="B72" s="51">
        <v>0</v>
      </c>
    </row>
    <row r="73" spans="2:2" x14ac:dyDescent="0.25">
      <c r="B73" s="51">
        <v>0</v>
      </c>
    </row>
    <row r="74" spans="2:2" x14ac:dyDescent="0.25">
      <c r="B74" s="51">
        <v>14</v>
      </c>
    </row>
    <row r="75" spans="2:2" x14ac:dyDescent="0.25">
      <c r="B75" s="51">
        <v>0</v>
      </c>
    </row>
    <row r="76" spans="2:2" ht="15.75" thickBot="1" x14ac:dyDescent="0.3">
      <c r="B76" s="51">
        <v>0</v>
      </c>
    </row>
    <row r="77" spans="2:2" ht="16.5" thickBot="1" x14ac:dyDescent="0.3">
      <c r="B77" s="52">
        <f>SUM(B71:B76)</f>
        <v>14</v>
      </c>
    </row>
    <row r="79" spans="2:2" x14ac:dyDescent="0.25">
      <c r="B79" s="51">
        <v>0</v>
      </c>
    </row>
    <row r="80" spans="2:2" ht="15.75" thickBot="1" x14ac:dyDescent="0.3">
      <c r="B80" s="51">
        <v>0</v>
      </c>
    </row>
    <row r="81" spans="2:2" ht="16.5" thickBot="1" x14ac:dyDescent="0.3">
      <c r="B81" s="52">
        <f>SUM(B79:B80)</f>
        <v>0</v>
      </c>
    </row>
    <row r="83" spans="2:2" x14ac:dyDescent="0.25">
      <c r="B83" s="51">
        <v>0</v>
      </c>
    </row>
    <row r="84" spans="2:2" x14ac:dyDescent="0.25">
      <c r="B84" s="51">
        <v>0</v>
      </c>
    </row>
    <row r="85" spans="2:2" ht="15.75" thickBot="1" x14ac:dyDescent="0.3">
      <c r="B85" s="51">
        <v>0</v>
      </c>
    </row>
    <row r="86" spans="2:2" ht="16.5" thickBot="1" x14ac:dyDescent="0.3">
      <c r="B86" s="52">
        <f>SUM(B83:B85)</f>
        <v>0</v>
      </c>
    </row>
    <row r="88" spans="2:2" x14ac:dyDescent="0.25">
      <c r="B88" s="51">
        <v>0</v>
      </c>
    </row>
    <row r="89" spans="2:2" x14ac:dyDescent="0.25">
      <c r="B89" s="51">
        <v>7</v>
      </c>
    </row>
    <row r="90" spans="2:2" x14ac:dyDescent="0.25">
      <c r="B90" s="51">
        <v>0</v>
      </c>
    </row>
    <row r="91" spans="2:2" ht="15.75" thickBot="1" x14ac:dyDescent="0.3">
      <c r="B91" s="51">
        <v>0</v>
      </c>
    </row>
    <row r="92" spans="2:2" ht="16.5" thickBot="1" x14ac:dyDescent="0.3">
      <c r="B92" s="59">
        <f>SUM(B88:B91)</f>
        <v>7</v>
      </c>
    </row>
    <row r="93" spans="2:2" ht="15.75" thickBot="1" x14ac:dyDescent="0.3"/>
    <row r="94" spans="2:2" ht="24" thickBot="1" x14ac:dyDescent="0.4">
      <c r="B94" s="53">
        <f>B92+B86+B81+B69+B66+B63+B56+B53+B49+B40+B46+B34+B30+B19+B27+B15+B6+B10+B77</f>
        <v>168</v>
      </c>
    </row>
    <row r="106" spans="1:1" x14ac:dyDescent="0.25">
      <c r="A106" s="50"/>
    </row>
    <row r="107" spans="1:1" ht="15.75" x14ac:dyDescent="0.25">
      <c r="A107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ise_a_0_Market">
                <anchor moveWithCells="1" sizeWithCells="1">
                  <from>
                    <xdr:col>2</xdr:col>
                    <xdr:colOff>733425</xdr:colOff>
                    <xdr:row>3</xdr:row>
                    <xdr:rowOff>152400</xdr:rowOff>
                  </from>
                  <to>
                    <xdr:col>4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B90"/>
  <sheetViews>
    <sheetView zoomScaleNormal="100" workbookViewId="0">
      <selection activeCell="B69" sqref="B69"/>
    </sheetView>
  </sheetViews>
  <sheetFormatPr defaultColWidth="11.42578125" defaultRowHeight="15" x14ac:dyDescent="0.25"/>
  <cols>
    <col min="1" max="1" width="25" bestFit="1" customWidth="1"/>
  </cols>
  <sheetData>
    <row r="1" spans="1:2" ht="15.75" thickBot="1" x14ac:dyDescent="0.3"/>
    <row r="2" spans="1:2" x14ac:dyDescent="0.25">
      <c r="A2" s="1" t="s">
        <v>0</v>
      </c>
      <c r="B2" s="29">
        <f>+'Market Segment'!B5+'Market Segment'!B9</f>
        <v>14</v>
      </c>
    </row>
    <row r="3" spans="1:2" x14ac:dyDescent="0.25">
      <c r="A3" s="2"/>
      <c r="B3" s="30">
        <f t="shared" ref="B3" si="0">IF(B4=0,0,B4/B2)</f>
        <v>293.06571428571431</v>
      </c>
    </row>
    <row r="4" spans="1:2" ht="15.75" thickBot="1" x14ac:dyDescent="0.3">
      <c r="A4" s="3"/>
      <c r="B4" s="31">
        <f>+DailyRev!B2+DailyRev!B3+DailyRev!B8</f>
        <v>4102.92</v>
      </c>
    </row>
    <row r="5" spans="1:2" x14ac:dyDescent="0.25">
      <c r="A5" s="4" t="s">
        <v>48</v>
      </c>
      <c r="B5" s="29">
        <f>+'Market Segment'!B17+'Market Segment'!B18+'Market Segment'!B13</f>
        <v>38</v>
      </c>
    </row>
    <row r="6" spans="1:2" x14ac:dyDescent="0.25">
      <c r="A6" s="2"/>
      <c r="B6" s="30">
        <f t="shared" ref="B6" si="1">IF(B7=0,0,B7/B5)</f>
        <v>185.60789473684213</v>
      </c>
    </row>
    <row r="7" spans="1:2" ht="15.75" thickBot="1" x14ac:dyDescent="0.3">
      <c r="A7" s="3"/>
      <c r="B7" s="31">
        <f>+DailyRev!B5</f>
        <v>7053.1</v>
      </c>
    </row>
    <row r="8" spans="1:2" x14ac:dyDescent="0.25">
      <c r="A8" s="4" t="s">
        <v>4</v>
      </c>
      <c r="B8" s="29">
        <f>+'Market Segment'!B14</f>
        <v>3</v>
      </c>
    </row>
    <row r="9" spans="1:2" x14ac:dyDescent="0.25">
      <c r="A9" s="5"/>
      <c r="B9" s="30">
        <f t="shared" ref="B9" si="2">IF(B10=0,0,B10/B8)</f>
        <v>190.33333333333334</v>
      </c>
    </row>
    <row r="10" spans="1:2" ht="15.75" thickBot="1" x14ac:dyDescent="0.3">
      <c r="A10" s="3"/>
      <c r="B10" s="31">
        <f>+DailyRev!B7</f>
        <v>571</v>
      </c>
    </row>
    <row r="11" spans="1:2" x14ac:dyDescent="0.25">
      <c r="A11" s="6" t="s">
        <v>1</v>
      </c>
      <c r="B11" s="32">
        <f t="shared" ref="B11" si="3">+B5+B2+B8</f>
        <v>55</v>
      </c>
    </row>
    <row r="12" spans="1:2" x14ac:dyDescent="0.25">
      <c r="A12" s="7" t="s">
        <v>2</v>
      </c>
      <c r="B12" s="33">
        <f t="shared" ref="B12" si="4">IF(B11=0,0,SUM(B13/B11))</f>
        <v>213.21854545454545</v>
      </c>
    </row>
    <row r="13" spans="1:2" ht="15.75" thickBot="1" x14ac:dyDescent="0.3">
      <c r="A13" s="8" t="s">
        <v>3</v>
      </c>
      <c r="B13" s="34">
        <f t="shared" ref="B13" si="5">+B7+B4+B10</f>
        <v>11727.02</v>
      </c>
    </row>
    <row r="14" spans="1:2" x14ac:dyDescent="0.25">
      <c r="A14" s="4" t="s">
        <v>5</v>
      </c>
      <c r="B14" s="29">
        <f>'Market Segment'!B22+'Market Segment'!B25+'Market Segment'!B26+'Market Segment'!B23+'Market Segment'!B24</f>
        <v>0</v>
      </c>
    </row>
    <row r="15" spans="1:2" x14ac:dyDescent="0.25">
      <c r="A15" s="5"/>
      <c r="B15" s="30" t="e">
        <f>IF(B16=0,0,B16/B14)</f>
        <v>#DIV/0!</v>
      </c>
    </row>
    <row r="16" spans="1:2" ht="15.75" thickBot="1" x14ac:dyDescent="0.3">
      <c r="A16" s="3"/>
      <c r="B16" s="31">
        <f>+DailyRev!B10</f>
        <v>339</v>
      </c>
    </row>
    <row r="17" spans="1:2" x14ac:dyDescent="0.25">
      <c r="A17" s="4" t="s">
        <v>6</v>
      </c>
      <c r="B17" s="29">
        <f>+'Market Segment'!B89+'Market Segment'!B88+'Market Segment'!B90</f>
        <v>7</v>
      </c>
    </row>
    <row r="18" spans="1:2" x14ac:dyDescent="0.25">
      <c r="A18" s="5"/>
      <c r="B18" s="30">
        <f t="shared" ref="B18" si="6">IF(B19=0,0,B19/B17)</f>
        <v>179.25</v>
      </c>
    </row>
    <row r="19" spans="1:2" ht="15.75" thickBot="1" x14ac:dyDescent="0.3">
      <c r="A19" s="3"/>
      <c r="B19" s="31">
        <f>+DailyRev!B6</f>
        <v>1254.75</v>
      </c>
    </row>
    <row r="20" spans="1:2" x14ac:dyDescent="0.25">
      <c r="A20" s="4" t="s">
        <v>7</v>
      </c>
      <c r="B20" s="29">
        <f>+'Market Segment'!B21+'Market Segment'!B24+'Market Segment'!B32+'Market Segment'!B33+'Market Segment'!B36+'Market Segment'!B37+'Market Segment'!B38+'Market Segment'!B39+'Market Segment'!B42+'Market Segment'!B43+'Market Segment'!B44+'Market Segment'!B45+'Market Segment'!B48+'Market Segment'!B51+'Market Segment'!B52+'Market Segment'!B65+'Market Segment'!B79+'Market Segment'!B83+'Market Segment'!B84+'Market Segment'!B85+'Market Segment'!B90+'Market Segment'!B91</f>
        <v>15</v>
      </c>
    </row>
    <row r="21" spans="1:2" x14ac:dyDescent="0.25">
      <c r="A21" s="5"/>
      <c r="B21" s="30">
        <f t="shared" ref="B21" si="7">IF(B22=0,0,B22/B20)</f>
        <v>250.51333333333332</v>
      </c>
    </row>
    <row r="22" spans="1:2" ht="15.75" thickBot="1" x14ac:dyDescent="0.3">
      <c r="A22" s="3"/>
      <c r="B22" s="31">
        <f>+DailyRev!B9+DailyRev!B11+DailyRev!B12+DailyRev!B13+DailyRev!B4+DailyRev!B15</f>
        <v>3757.7</v>
      </c>
    </row>
    <row r="23" spans="1:2" x14ac:dyDescent="0.25">
      <c r="A23" s="4" t="s">
        <v>49</v>
      </c>
      <c r="B23" s="29">
        <f>+'Market Segment'!B29</f>
        <v>2</v>
      </c>
    </row>
    <row r="24" spans="1:2" x14ac:dyDescent="0.25">
      <c r="A24" s="5"/>
      <c r="B24" s="30">
        <f>IF(B25=0,0,B25/B23)</f>
        <v>57.1</v>
      </c>
    </row>
    <row r="25" spans="1:2" ht="15.75" thickBot="1" x14ac:dyDescent="0.3">
      <c r="A25" s="3"/>
      <c r="B25" s="31">
        <f>+DailyRev!B14</f>
        <v>114.2</v>
      </c>
    </row>
    <row r="26" spans="1:2" x14ac:dyDescent="0.25">
      <c r="A26" s="4"/>
      <c r="B26" s="29"/>
    </row>
    <row r="27" spans="1:2" x14ac:dyDescent="0.25">
      <c r="A27" s="2"/>
      <c r="B27" s="30">
        <f t="shared" ref="B27" si="8">IF(B28=0,0,B28/B26)</f>
        <v>0</v>
      </c>
    </row>
    <row r="28" spans="1:2" ht="15.75" thickBot="1" x14ac:dyDescent="0.3">
      <c r="A28" s="2"/>
      <c r="B28" s="31"/>
    </row>
    <row r="29" spans="1:2" x14ac:dyDescent="0.25">
      <c r="A29" s="4"/>
      <c r="B29" s="29"/>
    </row>
    <row r="30" spans="1:2" x14ac:dyDescent="0.25">
      <c r="A30" s="5"/>
      <c r="B30" s="30">
        <f t="shared" ref="B30" si="9">IF(B31=0,0,B31/B29)</f>
        <v>0</v>
      </c>
    </row>
    <row r="31" spans="1:2" ht="15.75" thickBot="1" x14ac:dyDescent="0.3">
      <c r="A31" s="3"/>
      <c r="B31" s="31"/>
    </row>
    <row r="32" spans="1:2" x14ac:dyDescent="0.25">
      <c r="A32" s="4"/>
      <c r="B32" s="29"/>
    </row>
    <row r="33" spans="1:2" x14ac:dyDescent="0.25">
      <c r="A33" s="5"/>
      <c r="B33" s="30">
        <f t="shared" ref="B33" si="10">IF(B34=0,0,B34/B32)</f>
        <v>0</v>
      </c>
    </row>
    <row r="34" spans="1:2" ht="15.75" thickBot="1" x14ac:dyDescent="0.3">
      <c r="A34" s="3"/>
      <c r="B34" s="31"/>
    </row>
    <row r="35" spans="1:2" x14ac:dyDescent="0.25">
      <c r="A35" s="4"/>
      <c r="B35" s="29"/>
    </row>
    <row r="36" spans="1:2" x14ac:dyDescent="0.25">
      <c r="A36" s="5"/>
      <c r="B36" s="30">
        <f t="shared" ref="B36" si="11">IF(B37=0,0,B37/B35)</f>
        <v>0</v>
      </c>
    </row>
    <row r="37" spans="1:2" ht="15.75" thickBot="1" x14ac:dyDescent="0.3">
      <c r="A37" s="3"/>
      <c r="B37" s="31"/>
    </row>
    <row r="38" spans="1:2" x14ac:dyDescent="0.25">
      <c r="A38" s="6" t="s">
        <v>8</v>
      </c>
      <c r="B38" s="35">
        <f>+B14+B29+B17+B23+B26+B35+B20+B32</f>
        <v>24</v>
      </c>
    </row>
    <row r="39" spans="1:2" x14ac:dyDescent="0.25">
      <c r="A39" s="7" t="s">
        <v>9</v>
      </c>
      <c r="B39" s="33">
        <f t="shared" ref="B39" si="12">IF(B38=0,0,+B40/B38)</f>
        <v>227.73541666666665</v>
      </c>
    </row>
    <row r="40" spans="1:2" ht="15.75" thickBot="1" x14ac:dyDescent="0.3">
      <c r="A40" s="8" t="s">
        <v>10</v>
      </c>
      <c r="B40" s="36">
        <f>+B16+B31+B19+B25+B28+B37+B22+B34</f>
        <v>5465.65</v>
      </c>
    </row>
    <row r="41" spans="1:2" ht="15.75" thickBot="1" x14ac:dyDescent="0.3">
      <c r="B41" s="37"/>
    </row>
    <row r="42" spans="1:2" x14ac:dyDescent="0.25">
      <c r="A42" s="9" t="s">
        <v>11</v>
      </c>
      <c r="B42" s="35">
        <f>SUM(+B38+B11)</f>
        <v>79</v>
      </c>
    </row>
    <row r="43" spans="1:2" x14ac:dyDescent="0.25">
      <c r="A43" s="10" t="s">
        <v>12</v>
      </c>
      <c r="B43" s="33">
        <f t="shared" ref="B43" si="13">IF(B42=0,0,SUM(B44/B42))</f>
        <v>217.62873417721522</v>
      </c>
    </row>
    <row r="44" spans="1:2" ht="15.75" thickBot="1" x14ac:dyDescent="0.3">
      <c r="A44" s="11" t="s">
        <v>13</v>
      </c>
      <c r="B44" s="38">
        <f>SUM(B7+B4+B10+B16+B31+B19+B25+B28+B37+B22+B34)</f>
        <v>17192.670000000002</v>
      </c>
    </row>
    <row r="45" spans="1:2" x14ac:dyDescent="0.25">
      <c r="B45" s="39"/>
    </row>
    <row r="46" spans="1:2" ht="15.75" thickBot="1" x14ac:dyDescent="0.3">
      <c r="A46" t="s">
        <v>14</v>
      </c>
      <c r="B46" s="39"/>
    </row>
    <row r="47" spans="1:2" x14ac:dyDescent="0.25">
      <c r="A47" s="9" t="s">
        <v>15</v>
      </c>
      <c r="B47" s="29">
        <f>+'Market Segment'!B59</f>
        <v>60</v>
      </c>
    </row>
    <row r="48" spans="1:2" x14ac:dyDescent="0.25">
      <c r="A48" s="12"/>
      <c r="B48" s="30">
        <f t="shared" ref="B48" si="14">IF(B49=0,0,B49/B47)</f>
        <v>189.953</v>
      </c>
    </row>
    <row r="49" spans="1:2" ht="15.75" thickBot="1" x14ac:dyDescent="0.3">
      <c r="A49" s="11"/>
      <c r="B49" s="31">
        <f>+DailyRev!B18</f>
        <v>11397.18</v>
      </c>
    </row>
    <row r="50" spans="1:2" x14ac:dyDescent="0.25">
      <c r="A50" s="9" t="s">
        <v>16</v>
      </c>
      <c r="B50" s="29">
        <f>+'Market Segment'!B72</f>
        <v>0</v>
      </c>
    </row>
    <row r="51" spans="1:2" x14ac:dyDescent="0.25">
      <c r="A51" s="12"/>
      <c r="B51" s="30">
        <f t="shared" ref="B51" si="15">IF(B52=0,0,B52/B50)</f>
        <v>0</v>
      </c>
    </row>
    <row r="52" spans="1:2" ht="15.75" thickBot="1" x14ac:dyDescent="0.3">
      <c r="A52" s="11"/>
      <c r="B52" s="31">
        <f>+DailyRev!B19+DailyRev!B32</f>
        <v>0</v>
      </c>
    </row>
    <row r="53" spans="1:2" x14ac:dyDescent="0.25">
      <c r="A53" s="9" t="s">
        <v>17</v>
      </c>
      <c r="B53" s="29">
        <f>+'Market Segment'!B71</f>
        <v>0</v>
      </c>
    </row>
    <row r="54" spans="1:2" x14ac:dyDescent="0.25">
      <c r="A54" s="12"/>
      <c r="B54" s="30">
        <f t="shared" ref="B54" si="16">IF(B55=0,0,B55/B53)</f>
        <v>0</v>
      </c>
    </row>
    <row r="55" spans="1:2" ht="15.75" thickBot="1" x14ac:dyDescent="0.3">
      <c r="A55" s="13"/>
      <c r="B55" s="31">
        <f>+DailyRev!B21</f>
        <v>0</v>
      </c>
    </row>
    <row r="56" spans="1:2" x14ac:dyDescent="0.25">
      <c r="A56" s="9" t="s">
        <v>18</v>
      </c>
      <c r="B56" s="29">
        <f>+'Market Segment'!B73+'Market Segment'!B75+'Market Segment'!$B$74</f>
        <v>14</v>
      </c>
    </row>
    <row r="57" spans="1:2" x14ac:dyDescent="0.25">
      <c r="A57" s="12"/>
      <c r="B57" s="30">
        <f t="shared" ref="B57" si="17">IF(B58=0,0,B58/B56)</f>
        <v>224.35714285714286</v>
      </c>
    </row>
    <row r="58" spans="1:2" ht="15.75" thickBot="1" x14ac:dyDescent="0.3">
      <c r="A58" s="11"/>
      <c r="B58" s="31">
        <f>+DailyRev!B17</f>
        <v>3141</v>
      </c>
    </row>
    <row r="59" spans="1:2" x14ac:dyDescent="0.25">
      <c r="A59" s="9" t="s">
        <v>19</v>
      </c>
      <c r="B59" s="29">
        <f>+'Market Segment'!B76</f>
        <v>0</v>
      </c>
    </row>
    <row r="60" spans="1:2" x14ac:dyDescent="0.25">
      <c r="A60" s="12"/>
      <c r="B60" s="30">
        <f t="shared" ref="B60" si="18">IF(B61=0,0,B61/B59)</f>
        <v>0</v>
      </c>
    </row>
    <row r="61" spans="1:2" ht="15.75" thickBot="1" x14ac:dyDescent="0.3">
      <c r="A61" s="11"/>
      <c r="B61" s="31">
        <f>+DailyRev!C20+DailyRev!B20</f>
        <v>0</v>
      </c>
    </row>
    <row r="62" spans="1:2" x14ac:dyDescent="0.25">
      <c r="A62" s="9" t="s">
        <v>20</v>
      </c>
      <c r="B62" s="29">
        <v>0</v>
      </c>
    </row>
    <row r="63" spans="1:2" x14ac:dyDescent="0.25">
      <c r="A63" s="12"/>
      <c r="B63" s="30">
        <f t="shared" ref="B63" si="19">IF(B64=0,0,B64/B62)</f>
        <v>0</v>
      </c>
    </row>
    <row r="64" spans="1:2" ht="15.75" thickBot="1" x14ac:dyDescent="0.3">
      <c r="A64" s="14"/>
      <c r="B64" s="31">
        <v>0</v>
      </c>
    </row>
    <row r="65" spans="1:2" x14ac:dyDescent="0.25">
      <c r="A65" s="15" t="s">
        <v>21</v>
      </c>
      <c r="B65" s="32">
        <f t="shared" ref="B65" si="20">SUM(B47+B53+B56+B50+B59+B62)</f>
        <v>74</v>
      </c>
    </row>
    <row r="66" spans="1:2" x14ac:dyDescent="0.25">
      <c r="A66" s="16" t="s">
        <v>22</v>
      </c>
      <c r="B66" s="33">
        <f t="shared" ref="B66" si="21">IF(B65=0,0,SUM(B67/B65))</f>
        <v>196.4618918918919</v>
      </c>
    </row>
    <row r="67" spans="1:2" ht="15.75" thickBot="1" x14ac:dyDescent="0.3">
      <c r="A67" s="17" t="s">
        <v>23</v>
      </c>
      <c r="B67" s="38">
        <f t="shared" ref="B67" si="22">SUM(B49+B55+B58+B52+B61+B64)</f>
        <v>14538.18</v>
      </c>
    </row>
    <row r="68" spans="1:2" ht="15.75" thickBot="1" x14ac:dyDescent="0.3">
      <c r="B68" s="39"/>
    </row>
    <row r="69" spans="1:2" x14ac:dyDescent="0.25">
      <c r="A69" s="9" t="s">
        <v>24</v>
      </c>
      <c r="B69" s="29">
        <f>+'Market Segment'!B58+'Market Segment'!B55</f>
        <v>15</v>
      </c>
    </row>
    <row r="70" spans="1:2" x14ac:dyDescent="0.25">
      <c r="A70" s="12" t="s">
        <v>25</v>
      </c>
      <c r="B70" s="30">
        <f t="shared" ref="B70" si="23">IF(B71=0,0,B71/B69)</f>
        <v>144.53333333333333</v>
      </c>
    </row>
    <row r="71" spans="1:2" ht="15.75" thickBot="1" x14ac:dyDescent="0.3">
      <c r="A71" s="11" t="s">
        <v>26</v>
      </c>
      <c r="B71" s="31">
        <f>+DailyRev!B23</f>
        <v>2168</v>
      </c>
    </row>
    <row r="72" spans="1:2" ht="15.75" thickBot="1" x14ac:dyDescent="0.3">
      <c r="B72" s="39"/>
    </row>
    <row r="73" spans="1:2" x14ac:dyDescent="0.25">
      <c r="A73" s="9" t="s">
        <v>27</v>
      </c>
      <c r="B73" s="29">
        <v>0</v>
      </c>
    </row>
    <row r="74" spans="1:2" x14ac:dyDescent="0.25">
      <c r="A74" s="12" t="s">
        <v>28</v>
      </c>
      <c r="B74" s="30">
        <f t="shared" ref="B74" si="24">IF(B75=0,0,B75/B73)</f>
        <v>0</v>
      </c>
    </row>
    <row r="75" spans="1:2" ht="15.75" thickBot="1" x14ac:dyDescent="0.3">
      <c r="A75" s="11" t="s">
        <v>29</v>
      </c>
      <c r="B75" s="31">
        <v>0</v>
      </c>
    </row>
    <row r="76" spans="1:2" ht="15.75" thickBot="1" x14ac:dyDescent="0.3">
      <c r="B76" s="39"/>
    </row>
    <row r="77" spans="1:2" x14ac:dyDescent="0.25">
      <c r="A77" s="18" t="s">
        <v>30</v>
      </c>
      <c r="B77" s="35">
        <f t="shared" ref="B77" si="25">SUM(B42+B65+B69+B73)</f>
        <v>168</v>
      </c>
    </row>
    <row r="78" spans="1:2" x14ac:dyDescent="0.25">
      <c r="A78" s="19" t="s">
        <v>31</v>
      </c>
      <c r="B78" s="40">
        <f>IF(B77=0,0,SUM(B79/B77))</f>
        <v>201.77886904761908</v>
      </c>
    </row>
    <row r="79" spans="1:2" ht="15.75" thickBot="1" x14ac:dyDescent="0.3">
      <c r="A79" s="20" t="s">
        <v>32</v>
      </c>
      <c r="B79" s="38">
        <f>SUM(B44+B67+B71+B75)</f>
        <v>33898.850000000006</v>
      </c>
    </row>
    <row r="80" spans="1:2" ht="15.75" thickBot="1" x14ac:dyDescent="0.3">
      <c r="A80" s="21" t="s">
        <v>50</v>
      </c>
      <c r="B80" s="39"/>
    </row>
    <row r="81" spans="1:2" x14ac:dyDescent="0.25">
      <c r="A81" s="9" t="s">
        <v>33</v>
      </c>
      <c r="B81" s="41">
        <f>DailyRev!B44-DailyRev!B47</f>
        <v>275.5</v>
      </c>
    </row>
    <row r="82" spans="1:2" x14ac:dyDescent="0.25">
      <c r="A82" s="22" t="s">
        <v>20</v>
      </c>
      <c r="B82" s="42">
        <f>DailyRev!B28+DailyRev!B31</f>
        <v>0</v>
      </c>
    </row>
    <row r="83" spans="1:2" x14ac:dyDescent="0.25">
      <c r="A83" s="23" t="s">
        <v>34</v>
      </c>
      <c r="B83" s="42">
        <f>DailyRev!B29+DailyRev!B38</f>
        <v>438.01</v>
      </c>
    </row>
    <row r="84" spans="1:2" ht="15.75" thickBot="1" x14ac:dyDescent="0.3">
      <c r="A84" s="24" t="s">
        <v>35</v>
      </c>
      <c r="B84" s="43">
        <f>DailyRev!B27+DailyRev!B26</f>
        <v>109.5</v>
      </c>
    </row>
    <row r="85" spans="1:2" ht="15.75" thickBot="1" x14ac:dyDescent="0.3">
      <c r="A85" s="25"/>
      <c r="B85" s="44"/>
    </row>
    <row r="86" spans="1:2" x14ac:dyDescent="0.25">
      <c r="A86" s="26" t="s">
        <v>36</v>
      </c>
      <c r="B86" s="45">
        <f t="shared" ref="B86" si="26">+B87/B77</f>
        <v>206.67773809523814</v>
      </c>
    </row>
    <row r="87" spans="1:2" ht="15.75" thickBot="1" x14ac:dyDescent="0.3">
      <c r="A87" s="20" t="s">
        <v>37</v>
      </c>
      <c r="B87" s="46">
        <f>SUM(B79+B81+B82+B83+B84)</f>
        <v>34721.860000000008</v>
      </c>
    </row>
    <row r="88" spans="1:2" ht="15.75" thickBot="1" x14ac:dyDescent="0.3">
      <c r="A88" s="27"/>
      <c r="B88" s="47"/>
    </row>
    <row r="89" spans="1:2" x14ac:dyDescent="0.25">
      <c r="A89" s="28" t="s">
        <v>38</v>
      </c>
      <c r="B89" s="48">
        <f>+'Market Segment'!B62</f>
        <v>0</v>
      </c>
    </row>
    <row r="90" spans="1:2" x14ac:dyDescent="0.25">
      <c r="A90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B1:B89"/>
  <sheetViews>
    <sheetView tabSelected="1" workbookViewId="0">
      <selection activeCell="B89" sqref="B2:B89"/>
    </sheetView>
  </sheetViews>
  <sheetFormatPr defaultColWidth="11.42578125" defaultRowHeight="15" x14ac:dyDescent="0.25"/>
  <sheetData>
    <row r="1" spans="2:2" ht="15.75" thickBot="1" x14ac:dyDescent="0.3"/>
    <row r="2" spans="2:2" x14ac:dyDescent="0.25">
      <c r="B2" s="29">
        <f>DBRS!B2</f>
        <v>14</v>
      </c>
    </row>
    <row r="3" spans="2:2" x14ac:dyDescent="0.25">
      <c r="B3" s="30"/>
    </row>
    <row r="4" spans="2:2" ht="15.75" thickBot="1" x14ac:dyDescent="0.3">
      <c r="B4" s="31">
        <f>DBRS!B4</f>
        <v>4102.92</v>
      </c>
    </row>
    <row r="5" spans="2:2" x14ac:dyDescent="0.25">
      <c r="B5" s="29">
        <f>DBRS!B5</f>
        <v>38</v>
      </c>
    </row>
    <row r="6" spans="2:2" x14ac:dyDescent="0.25">
      <c r="B6" s="30"/>
    </row>
    <row r="7" spans="2:2" ht="15.75" thickBot="1" x14ac:dyDescent="0.3">
      <c r="B7" s="31">
        <f>DBRS!B7</f>
        <v>7053.1</v>
      </c>
    </row>
    <row r="8" spans="2:2" x14ac:dyDescent="0.25">
      <c r="B8" s="29">
        <f>DBRS!B8</f>
        <v>3</v>
      </c>
    </row>
    <row r="9" spans="2:2" x14ac:dyDescent="0.25">
      <c r="B9" s="30"/>
    </row>
    <row r="10" spans="2:2" ht="15.75" thickBot="1" x14ac:dyDescent="0.3">
      <c r="B10" s="31">
        <f>DBRS!B10</f>
        <v>571</v>
      </c>
    </row>
    <row r="11" spans="2:2" x14ac:dyDescent="0.25">
      <c r="B11" s="32"/>
    </row>
    <row r="12" spans="2:2" x14ac:dyDescent="0.25">
      <c r="B12" s="33"/>
    </row>
    <row r="13" spans="2:2" ht="15.75" thickBot="1" x14ac:dyDescent="0.3">
      <c r="B13" s="34"/>
    </row>
    <row r="14" spans="2:2" x14ac:dyDescent="0.25">
      <c r="B14" s="29">
        <f>DBRS!B14</f>
        <v>0</v>
      </c>
    </row>
    <row r="15" spans="2:2" x14ac:dyDescent="0.25">
      <c r="B15" s="30"/>
    </row>
    <row r="16" spans="2:2" ht="15.75" thickBot="1" x14ac:dyDescent="0.3">
      <c r="B16" s="31">
        <f>DBRS!B16</f>
        <v>339</v>
      </c>
    </row>
    <row r="17" spans="2:2" x14ac:dyDescent="0.25">
      <c r="B17" s="29">
        <f>DBRS!B17</f>
        <v>7</v>
      </c>
    </row>
    <row r="18" spans="2:2" x14ac:dyDescent="0.25">
      <c r="B18" s="30"/>
    </row>
    <row r="19" spans="2:2" ht="15.75" thickBot="1" x14ac:dyDescent="0.3">
      <c r="B19" s="31">
        <f>DBRS!B19</f>
        <v>1254.75</v>
      </c>
    </row>
    <row r="20" spans="2:2" x14ac:dyDescent="0.25">
      <c r="B20" s="29">
        <f>DBRS!B20</f>
        <v>15</v>
      </c>
    </row>
    <row r="21" spans="2:2" x14ac:dyDescent="0.25">
      <c r="B21" s="30"/>
    </row>
    <row r="22" spans="2:2" ht="15.75" thickBot="1" x14ac:dyDescent="0.3">
      <c r="B22" s="31">
        <f>DBRS!B22</f>
        <v>3757.7</v>
      </c>
    </row>
    <row r="23" spans="2:2" x14ac:dyDescent="0.25">
      <c r="B23" s="29">
        <f>DBRS!B23</f>
        <v>2</v>
      </c>
    </row>
    <row r="24" spans="2:2" x14ac:dyDescent="0.25">
      <c r="B24" s="30"/>
    </row>
    <row r="25" spans="2:2" ht="15.75" thickBot="1" x14ac:dyDescent="0.3">
      <c r="B25" s="31">
        <f>DBRS!B25</f>
        <v>114.2</v>
      </c>
    </row>
    <row r="26" spans="2:2" x14ac:dyDescent="0.25">
      <c r="B26" s="29">
        <f>DBRS!B26</f>
        <v>0</v>
      </c>
    </row>
    <row r="27" spans="2:2" x14ac:dyDescent="0.25">
      <c r="B27" s="30"/>
    </row>
    <row r="28" spans="2:2" ht="15.75" thickBot="1" x14ac:dyDescent="0.3">
      <c r="B28" s="31">
        <f>DBRS!B28</f>
        <v>0</v>
      </c>
    </row>
    <row r="29" spans="2:2" x14ac:dyDescent="0.25">
      <c r="B29" s="29">
        <f>DBRS!B29</f>
        <v>0</v>
      </c>
    </row>
    <row r="30" spans="2:2" x14ac:dyDescent="0.25">
      <c r="B30" s="30"/>
    </row>
    <row r="31" spans="2:2" ht="15.75" thickBot="1" x14ac:dyDescent="0.3">
      <c r="B31" s="31">
        <f>DBRS!B31</f>
        <v>0</v>
      </c>
    </row>
    <row r="32" spans="2:2" x14ac:dyDescent="0.25">
      <c r="B32" s="29">
        <f>DBRS!B32</f>
        <v>0</v>
      </c>
    </row>
    <row r="33" spans="2:2" x14ac:dyDescent="0.25">
      <c r="B33" s="30"/>
    </row>
    <row r="34" spans="2:2" ht="15.75" thickBot="1" x14ac:dyDescent="0.3">
      <c r="B34" s="31">
        <f>DBRS!B34</f>
        <v>0</v>
      </c>
    </row>
    <row r="35" spans="2:2" x14ac:dyDescent="0.25">
      <c r="B35" s="29">
        <f>DBRS!B35</f>
        <v>0</v>
      </c>
    </row>
    <row r="36" spans="2:2" x14ac:dyDescent="0.25">
      <c r="B36" s="30"/>
    </row>
    <row r="37" spans="2:2" ht="15.75" thickBot="1" x14ac:dyDescent="0.3">
      <c r="B37" s="31">
        <f>DBRS!B37</f>
        <v>0</v>
      </c>
    </row>
    <row r="38" spans="2:2" x14ac:dyDescent="0.25">
      <c r="B38" s="35"/>
    </row>
    <row r="39" spans="2:2" x14ac:dyDescent="0.25">
      <c r="B39" s="33"/>
    </row>
    <row r="40" spans="2:2" ht="15.75" thickBot="1" x14ac:dyDescent="0.3">
      <c r="B40" s="36"/>
    </row>
    <row r="41" spans="2:2" ht="15.75" thickBot="1" x14ac:dyDescent="0.3">
      <c r="B41" s="37"/>
    </row>
    <row r="42" spans="2:2" x14ac:dyDescent="0.25">
      <c r="B42" s="35"/>
    </row>
    <row r="43" spans="2:2" x14ac:dyDescent="0.25">
      <c r="B43" s="33"/>
    </row>
    <row r="44" spans="2:2" ht="15.75" thickBot="1" x14ac:dyDescent="0.3">
      <c r="B44" s="38"/>
    </row>
    <row r="45" spans="2:2" x14ac:dyDescent="0.25">
      <c r="B45" s="39"/>
    </row>
    <row r="46" spans="2:2" ht="15.75" thickBot="1" x14ac:dyDescent="0.3">
      <c r="B46" s="39"/>
    </row>
    <row r="47" spans="2:2" x14ac:dyDescent="0.25">
      <c r="B47" s="29">
        <f>DBRS!B47</f>
        <v>60</v>
      </c>
    </row>
    <row r="48" spans="2:2" x14ac:dyDescent="0.25">
      <c r="B48" s="30"/>
    </row>
    <row r="49" spans="2:2" ht="15.75" thickBot="1" x14ac:dyDescent="0.3">
      <c r="B49" s="31">
        <f>DBRS!B49</f>
        <v>11397.18</v>
      </c>
    </row>
    <row r="50" spans="2:2" x14ac:dyDescent="0.25">
      <c r="B50" s="29">
        <f>DBRS!B50</f>
        <v>0</v>
      </c>
    </row>
    <row r="51" spans="2:2" x14ac:dyDescent="0.25">
      <c r="B51" s="30"/>
    </row>
    <row r="52" spans="2:2" ht="15.75" thickBot="1" x14ac:dyDescent="0.3">
      <c r="B52" s="31">
        <f>DBRS!B52</f>
        <v>0</v>
      </c>
    </row>
    <row r="53" spans="2:2" x14ac:dyDescent="0.25">
      <c r="B53" s="29">
        <f>DBRS!B53</f>
        <v>0</v>
      </c>
    </row>
    <row r="54" spans="2:2" x14ac:dyDescent="0.25">
      <c r="B54" s="30"/>
    </row>
    <row r="55" spans="2:2" ht="15.75" thickBot="1" x14ac:dyDescent="0.3">
      <c r="B55" s="31">
        <f>DBRS!B55</f>
        <v>0</v>
      </c>
    </row>
    <row r="56" spans="2:2" x14ac:dyDescent="0.25">
      <c r="B56" s="29">
        <f>DBRS!B56</f>
        <v>14</v>
      </c>
    </row>
    <row r="57" spans="2:2" x14ac:dyDescent="0.25">
      <c r="B57" s="30"/>
    </row>
    <row r="58" spans="2:2" ht="15.75" thickBot="1" x14ac:dyDescent="0.3">
      <c r="B58" s="31">
        <f>DBRS!B58</f>
        <v>3141</v>
      </c>
    </row>
    <row r="59" spans="2:2" x14ac:dyDescent="0.25">
      <c r="B59" s="29">
        <f>DBRS!B59</f>
        <v>0</v>
      </c>
    </row>
    <row r="60" spans="2:2" x14ac:dyDescent="0.25">
      <c r="B60" s="30"/>
    </row>
    <row r="61" spans="2:2" ht="15.75" thickBot="1" x14ac:dyDescent="0.3">
      <c r="B61" s="31">
        <f>DBRS!B61</f>
        <v>0</v>
      </c>
    </row>
    <row r="62" spans="2:2" x14ac:dyDescent="0.25">
      <c r="B62" s="29">
        <f>DBRS!B62</f>
        <v>0</v>
      </c>
    </row>
    <row r="63" spans="2:2" x14ac:dyDescent="0.25">
      <c r="B63" s="30"/>
    </row>
    <row r="64" spans="2:2" ht="15.75" thickBot="1" x14ac:dyDescent="0.3">
      <c r="B64" s="31">
        <f>DBRS!B64</f>
        <v>0</v>
      </c>
    </row>
    <row r="65" spans="2:2" x14ac:dyDescent="0.25">
      <c r="B65" s="32"/>
    </row>
    <row r="66" spans="2:2" x14ac:dyDescent="0.25">
      <c r="B66" s="33"/>
    </row>
    <row r="67" spans="2:2" ht="15.75" thickBot="1" x14ac:dyDescent="0.3">
      <c r="B67" s="38"/>
    </row>
    <row r="68" spans="2:2" ht="15.75" thickBot="1" x14ac:dyDescent="0.3">
      <c r="B68" s="39"/>
    </row>
    <row r="69" spans="2:2" x14ac:dyDescent="0.25">
      <c r="B69" s="29">
        <f>DBRS!B69</f>
        <v>15</v>
      </c>
    </row>
    <row r="70" spans="2:2" x14ac:dyDescent="0.25">
      <c r="B70" s="30"/>
    </row>
    <row r="71" spans="2:2" ht="15.75" thickBot="1" x14ac:dyDescent="0.3">
      <c r="B71" s="31">
        <f>DBRS!B71</f>
        <v>2168</v>
      </c>
    </row>
    <row r="72" spans="2:2" ht="15.75" thickBot="1" x14ac:dyDescent="0.3">
      <c r="B72" s="39"/>
    </row>
    <row r="73" spans="2:2" x14ac:dyDescent="0.25">
      <c r="B73" s="29">
        <f>DBRS!B73</f>
        <v>0</v>
      </c>
    </row>
    <row r="74" spans="2:2" x14ac:dyDescent="0.25">
      <c r="B74" s="30"/>
    </row>
    <row r="75" spans="2:2" ht="15.75" thickBot="1" x14ac:dyDescent="0.3">
      <c r="B75" s="31">
        <f>DBRS!B75</f>
        <v>0</v>
      </c>
    </row>
    <row r="76" spans="2:2" ht="15.75" thickBot="1" x14ac:dyDescent="0.3">
      <c r="B76" s="39"/>
    </row>
    <row r="77" spans="2:2" x14ac:dyDescent="0.25">
      <c r="B77" s="35"/>
    </row>
    <row r="78" spans="2:2" x14ac:dyDescent="0.25">
      <c r="B78" s="40"/>
    </row>
    <row r="79" spans="2:2" ht="15.75" thickBot="1" x14ac:dyDescent="0.3">
      <c r="B79" s="38"/>
    </row>
    <row r="80" spans="2:2" ht="15.75" thickBot="1" x14ac:dyDescent="0.3">
      <c r="B80" s="39"/>
    </row>
    <row r="81" spans="2:2" x14ac:dyDescent="0.25">
      <c r="B81" s="41">
        <f>DBRS!B81</f>
        <v>275.5</v>
      </c>
    </row>
    <row r="82" spans="2:2" x14ac:dyDescent="0.25">
      <c r="B82" s="42">
        <f>DBRS!B82</f>
        <v>0</v>
      </c>
    </row>
    <row r="83" spans="2:2" x14ac:dyDescent="0.25">
      <c r="B83" s="42">
        <f>DBRS!B83</f>
        <v>438.01</v>
      </c>
    </row>
    <row r="84" spans="2:2" ht="15.75" thickBot="1" x14ac:dyDescent="0.3">
      <c r="B84" s="43">
        <f>DBRS!B84</f>
        <v>109.5</v>
      </c>
    </row>
    <row r="85" spans="2:2" ht="15.75" thickBot="1" x14ac:dyDescent="0.3">
      <c r="B85" s="44"/>
    </row>
    <row r="86" spans="2:2" x14ac:dyDescent="0.25">
      <c r="B86" s="45"/>
    </row>
    <row r="87" spans="2:2" ht="15.75" thickBot="1" x14ac:dyDescent="0.3">
      <c r="B87" s="46"/>
    </row>
    <row r="88" spans="2:2" ht="15.75" thickBot="1" x14ac:dyDescent="0.3">
      <c r="B88" s="47"/>
    </row>
    <row r="89" spans="2:2" x14ac:dyDescent="0.25">
      <c r="B89" s="48">
        <f>DBRS!B89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Explications</vt:lpstr>
      <vt:lpstr>DailyRev</vt:lpstr>
      <vt:lpstr>Market Segment</vt:lpstr>
      <vt:lpstr>DBRS</vt:lpstr>
      <vt:lpstr>DBRS Insertion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Auditeur De Nuit</dc:creator>
  <cp:lastModifiedBy>Auditeur De Nuit</cp:lastModifiedBy>
  <dcterms:created xsi:type="dcterms:W3CDTF">2018-11-22T11:06:44Z</dcterms:created>
  <dcterms:modified xsi:type="dcterms:W3CDTF">2026-04-20T10:34:15Z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